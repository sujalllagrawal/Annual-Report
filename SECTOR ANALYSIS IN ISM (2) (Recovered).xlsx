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a83\OneDrive\Desktop\"/>
    </mc:Choice>
  </mc:AlternateContent>
  <xr:revisionPtr revIDLastSave="0" documentId="13_ncr:10000001_{37AE361E-BFA0-4A5A-B62A-5ECC3639066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ANKING SECTOR ANALYSIS 1" sheetId="1" r:id="rId1"/>
    <sheet name="sector chart" sheetId="2" r:id="rId2"/>
    <sheet name="STOCKS COMPARISON" sheetId="3" r:id="rId3"/>
    <sheet name="Sheet2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1" l="1"/>
  <c r="H48" i="1"/>
  <c r="M47" i="1"/>
  <c r="H47" i="1"/>
  <c r="X46" i="1"/>
  <c r="W46" i="1"/>
  <c r="V46" i="1"/>
  <c r="U46" i="1"/>
  <c r="T46" i="1"/>
  <c r="S46" i="1"/>
  <c r="R46" i="1"/>
  <c r="Q46" i="1"/>
  <c r="P46" i="1"/>
  <c r="O46" i="1"/>
  <c r="N46" i="1"/>
  <c r="M46" i="1"/>
  <c r="J46" i="1"/>
  <c r="I46" i="1"/>
  <c r="H46" i="1"/>
  <c r="F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7" i="1"/>
  <c r="W37" i="1"/>
  <c r="V37" i="1"/>
  <c r="U37" i="1"/>
  <c r="T37" i="1"/>
  <c r="S37" i="1"/>
  <c r="R37" i="1"/>
  <c r="Q37" i="1"/>
  <c r="P37" i="1"/>
  <c r="O37" i="1"/>
  <c r="N37" i="1"/>
  <c r="M37" i="1"/>
  <c r="J37" i="1"/>
  <c r="I37" i="1"/>
  <c r="H37" i="1"/>
  <c r="F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8" i="1"/>
  <c r="W28" i="1"/>
  <c r="V28" i="1"/>
  <c r="U28" i="1"/>
  <c r="T28" i="1"/>
  <c r="S28" i="1"/>
  <c r="R28" i="1"/>
  <c r="Q28" i="1"/>
  <c r="P28" i="1"/>
  <c r="O28" i="1"/>
  <c r="N28" i="1"/>
  <c r="M28" i="1"/>
  <c r="J28" i="1"/>
  <c r="I28" i="1"/>
  <c r="H28" i="1"/>
  <c r="F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19" i="1"/>
  <c r="W19" i="1"/>
  <c r="V19" i="1"/>
  <c r="U19" i="1"/>
  <c r="T19" i="1"/>
  <c r="S19" i="1"/>
  <c r="R19" i="1"/>
  <c r="Q19" i="1"/>
  <c r="P19" i="1"/>
  <c r="O19" i="1"/>
  <c r="N19" i="1"/>
  <c r="M19" i="1"/>
  <c r="J19" i="1"/>
  <c r="I19" i="1"/>
  <c r="H19" i="1"/>
  <c r="F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0" i="1"/>
  <c r="W10" i="1"/>
  <c r="V10" i="1"/>
  <c r="U10" i="1"/>
  <c r="T10" i="1"/>
  <c r="S10" i="1"/>
  <c r="R10" i="1"/>
  <c r="Q10" i="1"/>
  <c r="P10" i="1"/>
  <c r="O10" i="1"/>
  <c r="N10" i="1"/>
  <c r="M10" i="1"/>
  <c r="J10" i="1"/>
  <c r="I10" i="1"/>
  <c r="H10" i="1"/>
  <c r="F10" i="1"/>
  <c r="X9" i="1"/>
  <c r="W9" i="1"/>
  <c r="X8" i="1"/>
  <c r="W8" i="1"/>
  <c r="X7" i="1"/>
  <c r="W7" i="1"/>
  <c r="X6" i="1"/>
  <c r="W6" i="1"/>
  <c r="X5" i="1"/>
  <c r="W5" i="1"/>
  <c r="X4" i="1"/>
  <c r="W4" i="1"/>
  <c r="X3" i="1"/>
  <c r="W3" i="1"/>
</calcChain>
</file>

<file path=xl/sharedStrings.xml><?xml version="1.0" encoding="utf-8"?>
<sst xmlns="http://schemas.openxmlformats.org/spreadsheetml/2006/main" count="271" uniqueCount="73">
  <si>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</si>
  <si>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</si>
  <si>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</si>
  <si>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</si>
  <si>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</si>
  <si>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</si>
  <si>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</si>
  <si>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</si>
  <si>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</si>
  <si>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</si>
  <si>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</si>
  <si>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</si>
  <si>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</si>
  <si>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</si>
  <si>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</si>
  <si>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</si>
  <si>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</si>
  <si>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</si>
  <si>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</si>
  <si>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</si>
  <si>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</si>
  <si>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</si>
  <si>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Company Name</t>
  </si>
  <si>
    <t>Financial Year</t>
  </si>
  <si>
    <t>BANK TYPE</t>
  </si>
  <si>
    <t>Share Price</t>
  </si>
  <si>
    <t>No. of Shares</t>
  </si>
  <si>
    <t>Market Capitalisation</t>
  </si>
  <si>
    <t>Book Value per Share</t>
  </si>
  <si>
    <t>Price to Book Value</t>
  </si>
  <si>
    <t>Earning Per Share</t>
  </si>
  <si>
    <t>Price to Earning</t>
  </si>
  <si>
    <t>Profit After Tax(PAT)</t>
  </si>
  <si>
    <t>Net Worth(Equity + Reserves)</t>
  </si>
  <si>
    <t>ROE(%)</t>
  </si>
  <si>
    <t>Gross NPA(%)</t>
  </si>
  <si>
    <t>Net NPA(%)</t>
  </si>
  <si>
    <t>Provision Coverage Ratio</t>
  </si>
  <si>
    <t>CASA Ratio(%)</t>
  </si>
  <si>
    <t>Advance Growth(%)</t>
  </si>
  <si>
    <t>CAR(%)</t>
  </si>
  <si>
    <t>Net Interest Margin(%)</t>
  </si>
  <si>
    <t>ROA</t>
  </si>
  <si>
    <t>Dividend Yield (%)</t>
  </si>
  <si>
    <t>Weightage</t>
  </si>
  <si>
    <t>HDFC Bank</t>
  </si>
  <si>
    <t>20-21</t>
  </si>
  <si>
    <t>PRIVATE BANK</t>
  </si>
  <si>
    <t>ICICI BANK</t>
  </si>
  <si>
    <t>SBI BANK</t>
  </si>
  <si>
    <t>PUBLIC SECTOR BANK</t>
  </si>
  <si>
    <t>KOTAK MAHINDRA BANK</t>
  </si>
  <si>
    <t>AXIS BANK</t>
  </si>
  <si>
    <t>BANK OF BARODA</t>
  </si>
  <si>
    <t>PNB</t>
  </si>
  <si>
    <t>Total for the sector</t>
  </si>
  <si>
    <t>21-22</t>
  </si>
  <si>
    <t>22-23</t>
  </si>
  <si>
    <t>23-24</t>
  </si>
  <si>
    <t>24-25</t>
  </si>
  <si>
    <t>SECTOR GROWTH</t>
  </si>
  <si>
    <t>SECTOR PROFITABILITY</t>
  </si>
  <si>
    <t>SECTOR RISK</t>
  </si>
  <si>
    <t>SECTOR VALUATION</t>
  </si>
  <si>
    <t>PB/ROE</t>
  </si>
  <si>
    <t>STOCK QUALITY</t>
  </si>
  <si>
    <t>RISK AND STABILITY</t>
  </si>
  <si>
    <t>GROWTH QUALITY</t>
  </si>
  <si>
    <t>VALUATION</t>
  </si>
  <si>
    <t>VERTICAL LINE</t>
  </si>
  <si>
    <t>X(PB)</t>
  </si>
  <si>
    <t>Y(ROE)</t>
  </si>
  <si>
    <t>HORIZONTAL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</si>
</sst>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36"/>
      <color theme="1"/>
      <name val="Arial"/>
      <family val="2"/>
      <scheme val="minor"/>
    </font>
    <font>
      <sz val="36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BANKING SECTOR ANALYSIS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860711613315116E-2"/>
          <c:y val="0.12030979734090615"/>
          <c:w val="0.90044003871791523"/>
          <c:h val="0.717941568779312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'BANKING SECTOR ANALYSIS 1'!$M$38</c:f>
              <c:strCache>
                <c:ptCount val="1"/>
                <c:pt idx="0">
                  <c:v>ROE(%)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6E1E0C9-C67B-47D4-88AF-BFD3D34D548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C15-4EEA-A700-23889CB1D0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F09E9C-1A85-4271-944B-A55E6916542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C15-4EEA-A700-23889CB1D0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789A51-5E3B-4BA2-996D-0153ABD34A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C15-4EEA-A700-23889CB1D0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0EEC43-1044-4C44-960D-4A574009CC9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C15-4EEA-A700-23889CB1D0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DEABC5-845A-4256-8B12-FB777BCB2C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C15-4EEA-A700-23889CB1D0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9DD127-DFA0-4168-BEAB-584391E9F43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C15-4EEA-A700-23889CB1D0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20F201-3AFA-48D7-BEDD-BA215EDEF6E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C15-4EEA-A700-23889CB1D0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'BANKING SECTOR ANALYSIS 1'!$H$39:$H$45</c:f>
              <c:numCache>
                <c:formatCode>General</c:formatCode>
                <c:ptCount val="7"/>
                <c:pt idx="0">
                  <c:v>2.48</c:v>
                </c:pt>
                <c:pt idx="1">
                  <c:v>3.54</c:v>
                </c:pt>
                <c:pt idx="2">
                  <c:v>1.57</c:v>
                </c:pt>
                <c:pt idx="3">
                  <c:v>3.14</c:v>
                </c:pt>
                <c:pt idx="4">
                  <c:v>1.88</c:v>
                </c:pt>
                <c:pt idx="5">
                  <c:v>1.1000000000000001</c:v>
                </c:pt>
                <c:pt idx="6">
                  <c:v>0.97</c:v>
                </c:pt>
              </c:numCache>
            </c:numRef>
          </c:xVal>
          <c:yVal>
            <c:numRef>
              <c:f>'BANKING SECTOR ANALYSIS 1'!$M$39:$M$45</c:f>
              <c:numCache>
                <c:formatCode>General</c:formatCode>
                <c:ptCount val="7"/>
                <c:pt idx="0">
                  <c:v>14.6</c:v>
                </c:pt>
                <c:pt idx="1">
                  <c:v>17.95</c:v>
                </c:pt>
                <c:pt idx="2">
                  <c:v>19.87</c:v>
                </c:pt>
                <c:pt idx="3">
                  <c:v>15.19</c:v>
                </c:pt>
                <c:pt idx="4">
                  <c:v>18.86</c:v>
                </c:pt>
                <c:pt idx="5">
                  <c:v>16.96</c:v>
                </c:pt>
                <c:pt idx="6">
                  <c:v>14.07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'BANKING SECTOR ANALYSIS 1'!$A$39:$A$45</c15:f>
                <c15:dlblRangeCache>
                  <c:ptCount val="7"/>
                  <c:pt idx="0">
                    <c:v>HDFC Bank</c:v>
                  </c:pt>
                  <c:pt idx="1">
                    <c:v>ICICI BANK</c:v>
                  </c:pt>
                  <c:pt idx="2">
                    <c:v>SBI BANK</c:v>
                  </c:pt>
                  <c:pt idx="3">
                    <c:v>KOTAK MAHINDRA BANK</c:v>
                  </c:pt>
                  <c:pt idx="4">
                    <c:v>AXIS BANK</c:v>
                  </c:pt>
                  <c:pt idx="5">
                    <c:v>BANK OF BARODA</c:v>
                  </c:pt>
                  <c:pt idx="6">
                    <c:v>PNB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C15-4EEA-A700-23889CB1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096591"/>
        <c:axId val="1853103311"/>
      </c:scatterChart>
      <c:scatterChart>
        <c:scatterStyle val="lineMarker"/>
        <c:varyColors val="0"/>
        <c:ser>
          <c:idx val="1"/>
          <c:order val="1"/>
          <c:tx>
            <c:v>Sector Avg PB</c:v>
          </c:tx>
          <c: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ysDash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'BANKING SECTOR ANALYSIS 1'!$F$52:$F$53</c:f>
              <c:numCache>
                <c:formatCode>General</c:formatCode>
                <c:ptCount val="2"/>
                <c:pt idx="0">
                  <c:v>2.5144624759999998</c:v>
                </c:pt>
                <c:pt idx="1">
                  <c:v>2.5144624759999998</c:v>
                </c:pt>
              </c:numCache>
            </c:numRef>
          </c:xVal>
          <c:yVal>
            <c:numRef>
              <c:f>'BANKING SECTOR ANALYSIS 1'!$G$52:$G$53</c:f>
              <c:numCache>
                <c:formatCode>General</c:formatCode>
                <c:ptCount val="2"/>
                <c:pt idx="0">
                  <c:v>14.07</c:v>
                </c:pt>
                <c:pt idx="1">
                  <c:v>18.87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15-4EEA-A700-23889CB1D091}"/>
            </c:ext>
          </c:extLst>
        </c:ser>
        <c:ser>
          <c:idx val="2"/>
          <c:order val="2"/>
          <c:tx>
            <c:v>Sector Avg ROE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'BANKING SECTOR ANALYSIS 1'!$I$52:$I$53</c:f>
              <c:numCache>
                <c:formatCode>General</c:formatCode>
                <c:ptCount val="2"/>
                <c:pt idx="0">
                  <c:v>0.97</c:v>
                </c:pt>
                <c:pt idx="1">
                  <c:v>3.54</c:v>
                </c:pt>
              </c:numCache>
            </c:numRef>
          </c:xVal>
          <c:yVal>
            <c:numRef>
              <c:f>'BANKING SECTOR ANALYSIS 1'!$J$52:$J$53</c:f>
              <c:numCache>
                <c:formatCode>General</c:formatCode>
                <c:ptCount val="2"/>
                <c:pt idx="0">
                  <c:v>16.864177340000001</c:v>
                </c:pt>
                <c:pt idx="1">
                  <c:v>16.864177340000001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15-4EEA-A700-23889CB1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099951"/>
        <c:axId val="1853115791"/>
      </c:scatterChart>
      <c:valAx>
        <c:axId val="185309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03311"/>
        <c:crosses val="autoZero"/>
        <c:crossBetween val="midCat"/>
      </c:valAx>
      <c:valAx>
        <c:axId val="185310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096591"/>
        <c:crosses val="autoZero"/>
        <c:crossBetween val="midCat"/>
      </c:valAx>
      <c:valAx>
        <c:axId val="18531157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099951"/>
        <c:crosses val="max"/>
        <c:crossBetween val="midCat"/>
      </c:valAx>
      <c:valAx>
        <c:axId val="185309995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15791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1'!$R$2</c:f>
              <c:strCache>
                <c:ptCount val="1"/>
                <c:pt idx="0">
                  <c:v>Advance Growth(%)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1'!$R$10,'BANKING SECTOR ANALYSIS 1'!$R$19,'BANKING SECTOR ANALYSIS 1'!$R$28,'BANKING SECTOR ANALYSIS 1'!$R$37,'BANKING SECTOR ANALYSIS 1'!$R$46)</c:f>
              <c:numCache>
                <c:formatCode>General</c:formatCode>
                <c:ptCount val="5"/>
                <c:pt idx="0">
                  <c:v>9.701419625914113</c:v>
                </c:pt>
                <c:pt idx="1">
                  <c:v>17.535239253996306</c:v>
                </c:pt>
                <c:pt idx="2">
                  <c:v>17.608604195826512</c:v>
                </c:pt>
                <c:pt idx="3">
                  <c:v>28.199462719692473</c:v>
                </c:pt>
                <c:pt idx="4">
                  <c:v>10.046928213100102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8-430A-B193-C80D80F2DF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40775839"/>
        <c:axId val="1240776319"/>
        <c:axId val="0"/>
      </c:bar3DChart>
      <c:catAx>
        <c:axId val="124077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6319"/>
        <c:crosses val="autoZero"/>
        <c:auto val="1"/>
        <c:lblAlgn val="ctr"/>
        <c:lblOffset val="100"/>
        <c:noMultiLvlLbl val="0"/>
      </c:catAx>
      <c:valAx>
        <c:axId val="12407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1'!$S$2</c:f>
              <c:strCache>
                <c:ptCount val="1"/>
                <c:pt idx="0">
                  <c:v>CAR(%)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1'!$S$10,'BANKING SECTOR ANALYSIS 1'!$S$19,'BANKING SECTOR ANALYSIS 1'!$S$28,'BANKING SECTOR ANALYSIS 1'!$S$37,'BANKING SECTOR ANALYSIS 1'!$S$46)</c:f>
              <c:numCache>
                <c:formatCode>General</c:formatCode>
                <c:ptCount val="5"/>
                <c:pt idx="0">
                  <c:v>18.445240276777252</c:v>
                </c:pt>
                <c:pt idx="1">
                  <c:v>18.528165439876133</c:v>
                </c:pt>
                <c:pt idx="2">
                  <c:v>18.232791609839431</c:v>
                </c:pt>
                <c:pt idx="3">
                  <c:v>17.136337866122961</c:v>
                </c:pt>
                <c:pt idx="4">
                  <c:v>17.749884440294892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8-4650-B02B-2DE84EABEE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82079"/>
        <c:axId val="1240766239"/>
        <c:axId val="0"/>
      </c:bar3DChart>
      <c:catAx>
        <c:axId val="124078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66239"/>
        <c:crosses val="autoZero"/>
        <c:auto val="1"/>
        <c:lblAlgn val="ctr"/>
        <c:lblOffset val="100"/>
        <c:noMultiLvlLbl val="0"/>
      </c:catAx>
      <c:valAx>
        <c:axId val="12407662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8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1'!$U$2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1'!$U$10,'BANKING SECTOR ANALYSIS 1'!$U$19,'BANKING SECTOR ANALYSIS 1'!$U$28,'BANKING SECTOR ANALYSIS 1'!$U$37,'BANKING SECTOR ANALYSIS 1'!$U$46)</c:f>
              <c:numCache>
                <c:formatCode>General</c:formatCode>
                <c:ptCount val="5"/>
                <c:pt idx="0">
                  <c:v>1.4168545027109962</c:v>
                </c:pt>
                <c:pt idx="1">
                  <c:v>1.6442432014243207</c:v>
                </c:pt>
                <c:pt idx="2">
                  <c:v>1.8399863313094937</c:v>
                </c:pt>
                <c:pt idx="3">
                  <c:v>1.8084372790493846</c:v>
                </c:pt>
                <c:pt idx="4">
                  <c:v>1.9039873316058071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2-4E28-BDA5-F6CF45AB0D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90719"/>
        <c:axId val="1240793119"/>
        <c:axId val="0"/>
      </c:bar3DChart>
      <c:catAx>
        <c:axId val="124079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93119"/>
        <c:crosses val="autoZero"/>
        <c:auto val="1"/>
        <c:lblAlgn val="ctr"/>
        <c:lblOffset val="100"/>
        <c:noMultiLvlLbl val="0"/>
      </c:catAx>
      <c:valAx>
        <c:axId val="12407931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1'!$T$2</c:f>
              <c:strCache>
                <c:ptCount val="1"/>
                <c:pt idx="0">
                  <c:v>Net Interest Margin(%)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1'!$T$10,'BANKING SECTOR ANALYSIS 1'!$T$19,'BANKING SECTOR ANALYSIS 1'!$T$28,'BANKING SECTOR ANALYSIS 1'!$T$37,'BANKING SECTOR ANALYSIS 1'!$T$46)</c:f>
              <c:numCache>
                <c:formatCode>General</c:formatCode>
                <c:ptCount val="5"/>
                <c:pt idx="0">
                  <c:v>3.841540409791699</c:v>
                </c:pt>
                <c:pt idx="1">
                  <c:v>3.8745383725959344</c:v>
                </c:pt>
                <c:pt idx="2">
                  <c:v>4.1622908423745564</c:v>
                </c:pt>
                <c:pt idx="3">
                  <c:v>3.9031036297367923</c:v>
                </c:pt>
                <c:pt idx="4">
                  <c:v>3.7836451300046678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9-4892-86DE-A96D67A479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96479"/>
        <c:axId val="1240799839"/>
        <c:axId val="0"/>
      </c:bar3DChart>
      <c:catAx>
        <c:axId val="124079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99839"/>
        <c:crosses val="autoZero"/>
        <c:auto val="1"/>
        <c:lblAlgn val="ctr"/>
        <c:lblOffset val="100"/>
        <c:noMultiLvlLbl val="0"/>
      </c:catAx>
      <c:valAx>
        <c:axId val="12407998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9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1'!$M$2</c:f>
              <c:strCache>
                <c:ptCount val="1"/>
                <c:pt idx="0">
                  <c:v>ROE(%)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1'!$M$10,'BANKING SECTOR ANALYSIS 1'!$M$19,'BANKING SECTOR ANALYSIS 1'!$M$28,'BANKING SECTOR ANALYSIS 1'!$M$37,'BANKING SECTOR ANALYSIS 1'!$M$46)</c:f>
              <c:numCache>
                <c:formatCode>General</c:formatCode>
                <c:ptCount val="5"/>
                <c:pt idx="0">
                  <c:v>12.056893594977332</c:v>
                </c:pt>
                <c:pt idx="1">
                  <c:v>14.549779587632219</c:v>
                </c:pt>
                <c:pt idx="2">
                  <c:v>16.309540375844744</c:v>
                </c:pt>
                <c:pt idx="3">
                  <c:v>17.296787599025176</c:v>
                </c:pt>
                <c:pt idx="4">
                  <c:v>16.864177344014351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4-4DB0-80A8-D9BB3D64A6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809919"/>
        <c:axId val="1240808959"/>
        <c:axId val="0"/>
      </c:bar3DChart>
      <c:catAx>
        <c:axId val="124080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08959"/>
        <c:crosses val="autoZero"/>
        <c:auto val="1"/>
        <c:lblAlgn val="ctr"/>
        <c:lblOffset val="100"/>
        <c:noMultiLvlLbl val="0"/>
      </c:catAx>
      <c:valAx>
        <c:axId val="12408089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8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1'!$P$2</c:f>
              <c:strCache>
                <c:ptCount val="1"/>
                <c:pt idx="0">
                  <c:v>Provision Coverage Ratio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1'!$P$10,'BANKING SECTOR ANALYSIS 1'!$P$19,'BANKING SECTOR ANALYSIS 1'!$P$28,'BANKING SECTOR ANALYSIS 1'!$P$37,'BANKING SECTOR ANALYSIS 1'!$P$46)</c:f>
              <c:numCache>
                <c:formatCode>General</c:formatCode>
                <c:ptCount val="5"/>
                <c:pt idx="0">
                  <c:v>73.648916555333557</c:v>
                </c:pt>
                <c:pt idx="1">
                  <c:v>76.011462794282949</c:v>
                </c:pt>
                <c:pt idx="2">
                  <c:v>79.219096305216013</c:v>
                </c:pt>
                <c:pt idx="3">
                  <c:v>77.723368964611694</c:v>
                </c:pt>
                <c:pt idx="4">
                  <c:v>74.663092604140857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1-434E-99F5-D853B4A57A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817119"/>
        <c:axId val="1240818079"/>
        <c:axId val="0"/>
      </c:bar3DChart>
      <c:catAx>
        <c:axId val="124081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18079"/>
        <c:crosses val="autoZero"/>
        <c:auto val="1"/>
        <c:lblAlgn val="ctr"/>
        <c:lblOffset val="100"/>
        <c:noMultiLvlLbl val="0"/>
      </c:catAx>
      <c:valAx>
        <c:axId val="12408180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81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1'!$N$2</c:f>
              <c:strCache>
                <c:ptCount val="1"/>
                <c:pt idx="0">
                  <c:v>Gross NPA(%)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1'!$N$10,'BANKING SECTOR ANALYSIS 1'!$N$19,'BANKING SECTOR ANALYSIS 1'!$N$28,'BANKING SECTOR ANALYSIS 1'!$N$37,'BANKING SECTOR ANALYSIS 1'!$N$46)</c:f>
              <c:numCache>
                <c:formatCode>General</c:formatCode>
                <c:ptCount val="5"/>
                <c:pt idx="0">
                  <c:v>3.5359517944254248</c:v>
                </c:pt>
                <c:pt idx="1">
                  <c:v>2.8139918589618107</c:v>
                </c:pt>
                <c:pt idx="2">
                  <c:v>2.2140402614988819</c:v>
                </c:pt>
                <c:pt idx="3">
                  <c:v>1.8864478400828568</c:v>
                </c:pt>
                <c:pt idx="4">
                  <c:v>1.7825761184379296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5-41DD-9C07-56A590C902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808479"/>
        <c:axId val="1240810879"/>
        <c:axId val="0"/>
      </c:bar3DChart>
      <c:catAx>
        <c:axId val="12408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10879"/>
        <c:crosses val="autoZero"/>
        <c:auto val="1"/>
        <c:lblAlgn val="ctr"/>
        <c:lblOffset val="100"/>
        <c:noMultiLvlLbl val="0"/>
      </c:catAx>
      <c:valAx>
        <c:axId val="12408108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8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1'!$H$2</c:f>
              <c:strCache>
                <c:ptCount val="1"/>
                <c:pt idx="0">
                  <c:v>Price to Book Value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1'!$H$10,'BANKING SECTOR ANALYSIS 1'!$H$19,'BANKING SECTOR ANALYSIS 1'!$H$28,'BANKING SECTOR ANALYSIS 1'!$H$37,'BANKING SECTOR ANALYSIS 1'!$H$46)</c:f>
              <c:numCache>
                <c:formatCode>General</c:formatCode>
                <c:ptCount val="5"/>
                <c:pt idx="0">
                  <c:v>3.1275358292415842</c:v>
                </c:pt>
                <c:pt idx="1">
                  <c:v>2.7956675797741672</c:v>
                </c:pt>
                <c:pt idx="2">
                  <c:v>2.9947639575298912</c:v>
                </c:pt>
                <c:pt idx="3">
                  <c:v>2.7701175092397432</c:v>
                </c:pt>
                <c:pt idx="4">
                  <c:v>2.5144624762739651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E-4462-BB5F-02E2082A58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68159"/>
        <c:axId val="1240770559"/>
        <c:axId val="0"/>
      </c:bar3DChart>
      <c:catAx>
        <c:axId val="124076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0559"/>
        <c:crosses val="autoZero"/>
        <c:auto val="1"/>
        <c:lblAlgn val="ctr"/>
        <c:lblOffset val="100"/>
        <c:noMultiLvlLbl val="0"/>
      </c:catAx>
      <c:valAx>
        <c:axId val="12407705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6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1'!$X$2</c:f>
              <c:strCache>
                <c:ptCount val="1"/>
                <c:pt idx="0">
                  <c:v>PB/ROE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('BANKING SECTOR ANALYSIS 1'!$B$10,'BANKING SECTOR ANALYSIS 1'!$B$19,'BANKING SECTOR ANALYSIS 1'!$B$28,'BANKING SECTOR ANALYSIS 1'!$B$37,'BANKING SECTOR ANALYSIS 1'!$B$46)</c:f>
              <c:strCache>
                <c:ptCount val="5"/>
                <c:pt idx="0">
                  <c:v>20-21</c:v>
                </c:pt>
                <c:pt idx="1">
                  <c:v>21-22</c:v>
                </c:pt>
                <c:pt idx="2">
                  <c:v>22-23</c:v>
                </c:pt>
                <c:pt idx="3">
                  <c:v>23-24</c:v>
                </c:pt>
                <c:pt idx="4">
                  <c:v>24-25</c:v>
                </c:pt>
              </c:strCache>
            </c:strRef>
          </c:cat>
          <c:val>
            <c:numRef>
              <c:f>('BANKING SECTOR ANALYSIS 1'!$X$10,'BANKING SECTOR ANALYSIS 1'!$X$19,'BANKING SECTOR ANALYSIS 1'!$X$28,'BANKING SECTOR ANALYSIS 1'!$X$37,'BANKING SECTOR ANALYSIS 1'!$X$46)</c:f>
              <c:numCache>
                <c:formatCode>General</c:formatCode>
                <c:ptCount val="5"/>
                <c:pt idx="0">
                  <c:v>0.27085916428036072</c:v>
                </c:pt>
                <c:pt idx="1">
                  <c:v>0.19218433212869634</c:v>
                </c:pt>
                <c:pt idx="2">
                  <c:v>0.19231568420126688</c:v>
                </c:pt>
                <c:pt idx="3">
                  <c:v>0.16338914861122883</c:v>
                </c:pt>
                <c:pt idx="4">
                  <c:v>0.15201517700088105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2-4BB5-BDB7-EBA0CFD985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40760479"/>
        <c:axId val="1240771039"/>
        <c:axId val="0"/>
      </c:bar3DChart>
      <c:catAx>
        <c:axId val="12407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1039"/>
        <c:crosses val="autoZero"/>
        <c:auto val="1"/>
        <c:lblAlgn val="ctr"/>
        <c:lblOffset val="100"/>
        <c:noMultiLvlLbl val="0"/>
      </c:catAx>
      <c:valAx>
        <c:axId val="124077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6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1'!$M$38</c:f>
              <c:strCache>
                <c:ptCount val="1"/>
                <c:pt idx="0">
                  <c:v>ROE(%)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1'!$M$39:$M$45</c:f>
              <c:numCache>
                <c:formatCode>General</c:formatCode>
                <c:ptCount val="7"/>
                <c:pt idx="0">
                  <c:v>14.6</c:v>
                </c:pt>
                <c:pt idx="1">
                  <c:v>17.95</c:v>
                </c:pt>
                <c:pt idx="2">
                  <c:v>19.87</c:v>
                </c:pt>
                <c:pt idx="3">
                  <c:v>15.19</c:v>
                </c:pt>
                <c:pt idx="4">
                  <c:v>18.86</c:v>
                </c:pt>
                <c:pt idx="5">
                  <c:v>16.96</c:v>
                </c:pt>
                <c:pt idx="6">
                  <c:v>14.07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A-437F-9CA1-CD393F7F94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40814239"/>
        <c:axId val="1240823359"/>
        <c:axId val="0"/>
      </c:bar3DChart>
      <c:catAx>
        <c:axId val="124081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23359"/>
        <c:crosses val="autoZero"/>
        <c:auto val="1"/>
        <c:lblAlgn val="ctr"/>
        <c:lblOffset val="100"/>
        <c:noMultiLvlLbl val="0"/>
      </c:catAx>
      <c:valAx>
        <c:axId val="12408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1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1'!$U$38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1'!$U$39:$U$45</c:f>
              <c:numCache>
                <c:formatCode>General</c:formatCode>
                <c:ptCount val="7"/>
                <c:pt idx="0">
                  <c:v>1.91</c:v>
                </c:pt>
                <c:pt idx="1">
                  <c:v>2.4</c:v>
                </c:pt>
                <c:pt idx="2">
                  <c:v>1.1000000000000001</c:v>
                </c:pt>
                <c:pt idx="3">
                  <c:v>2.73</c:v>
                </c:pt>
                <c:pt idx="4">
                  <c:v>1.74</c:v>
                </c:pt>
                <c:pt idx="5">
                  <c:v>1.1599999999999999</c:v>
                </c:pt>
                <c:pt idx="6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E-4BA0-B72B-C3F4ADCCC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89759"/>
        <c:axId val="825519343"/>
        <c:axId val="0"/>
      </c:bar3DChart>
      <c:catAx>
        <c:axId val="12407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19343"/>
        <c:crosses val="autoZero"/>
        <c:auto val="1"/>
        <c:lblAlgn val="ctr"/>
        <c:lblOffset val="100"/>
        <c:noMultiLvlLbl val="0"/>
      </c:catAx>
      <c:valAx>
        <c:axId val="8255193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1'!$T$38</c:f>
              <c:strCache>
                <c:ptCount val="1"/>
                <c:pt idx="0">
                  <c:v>Net Interest Margin(%)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1'!$T$39:$T$45</c:f>
              <c:numCache>
                <c:formatCode>General</c:formatCode>
                <c:ptCount val="7"/>
                <c:pt idx="0">
                  <c:v>3.48</c:v>
                </c:pt>
                <c:pt idx="1">
                  <c:v>4.32</c:v>
                </c:pt>
                <c:pt idx="2">
                  <c:v>3.09</c:v>
                </c:pt>
                <c:pt idx="3">
                  <c:v>4.97</c:v>
                </c:pt>
                <c:pt idx="4">
                  <c:v>3.98</c:v>
                </c:pt>
                <c:pt idx="5">
                  <c:v>3.02</c:v>
                </c:pt>
                <c:pt idx="6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F-42EA-8DA5-08165751A7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66826031"/>
        <c:axId val="1666826511"/>
        <c:axId val="0"/>
      </c:bar3DChart>
      <c:catAx>
        <c:axId val="166682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26511"/>
        <c:crosses val="autoZero"/>
        <c:auto val="1"/>
        <c:lblAlgn val="ctr"/>
        <c:lblOffset val="100"/>
        <c:noMultiLvlLbl val="0"/>
      </c:catAx>
      <c:valAx>
        <c:axId val="16668265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68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1'!$Q$38</c:f>
              <c:strCache>
                <c:ptCount val="1"/>
                <c:pt idx="0">
                  <c:v>CASA Ratio(%)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1'!$Q$39:$Q$45</c:f>
              <c:numCache>
                <c:formatCode>General</c:formatCode>
                <c:ptCount val="7"/>
                <c:pt idx="0">
                  <c:v>38.200000000000003</c:v>
                </c:pt>
                <c:pt idx="1">
                  <c:v>40.6</c:v>
                </c:pt>
                <c:pt idx="2">
                  <c:v>39.97</c:v>
                </c:pt>
                <c:pt idx="3">
                  <c:v>43</c:v>
                </c:pt>
                <c:pt idx="4">
                  <c:v>40.770000000000003</c:v>
                </c:pt>
                <c:pt idx="5">
                  <c:v>39.97</c:v>
                </c:pt>
                <c:pt idx="6">
                  <c:v>37.950000000000003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8-4438-935B-1C589379F0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66844751"/>
        <c:axId val="1666843791"/>
        <c:axId val="0"/>
      </c:bar3DChart>
      <c:catAx>
        <c:axId val="166684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43791"/>
        <c:crosses val="autoZero"/>
        <c:auto val="1"/>
        <c:lblAlgn val="ctr"/>
        <c:lblOffset val="100"/>
        <c:noMultiLvlLbl val="0"/>
      </c:catAx>
      <c:valAx>
        <c:axId val="16668437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684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1'!$N$38</c:f>
              <c:strCache>
                <c:ptCount val="1"/>
                <c:pt idx="0">
                  <c:v>Gross NPA(%)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1'!$N$39:$N$45</c:f>
              <c:numCache>
                <c:formatCode>General</c:formatCode>
                <c:ptCount val="7"/>
                <c:pt idx="0">
                  <c:v>1.33</c:v>
                </c:pt>
                <c:pt idx="1">
                  <c:v>2.2999999999999998</c:v>
                </c:pt>
                <c:pt idx="2">
                  <c:v>1.82</c:v>
                </c:pt>
                <c:pt idx="3">
                  <c:v>1.42</c:v>
                </c:pt>
                <c:pt idx="4">
                  <c:v>1.28</c:v>
                </c:pt>
                <c:pt idx="5">
                  <c:v>2.2599999999999998</c:v>
                </c:pt>
                <c:pt idx="6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0-4F57-A402-8B4442278E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66846191"/>
        <c:axId val="1666848591"/>
        <c:axId val="0"/>
      </c:bar3DChart>
      <c:catAx>
        <c:axId val="16668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48591"/>
        <c:crosses val="autoZero"/>
        <c:auto val="1"/>
        <c:lblAlgn val="ctr"/>
        <c:lblOffset val="100"/>
        <c:noMultiLvlLbl val="0"/>
      </c:catAx>
      <c:valAx>
        <c:axId val="16668485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684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1'!$P$38</c:f>
              <c:strCache>
                <c:ptCount val="1"/>
                <c:pt idx="0">
                  <c:v>Provision Coverage Ratio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1'!$P$39:$P$45</c:f>
              <c:numCache>
                <c:formatCode>General</c:formatCode>
                <c:ptCount val="7"/>
                <c:pt idx="0">
                  <c:v>67.86</c:v>
                </c:pt>
                <c:pt idx="1">
                  <c:v>76.2</c:v>
                </c:pt>
                <c:pt idx="2">
                  <c:v>74.42</c:v>
                </c:pt>
                <c:pt idx="3">
                  <c:v>80.38</c:v>
                </c:pt>
                <c:pt idx="4">
                  <c:v>75</c:v>
                </c:pt>
                <c:pt idx="5">
                  <c:v>93.29</c:v>
                </c:pt>
                <c:pt idx="6">
                  <c:v>96.82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D-4DF3-BC62-02905702A6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66855791"/>
        <c:axId val="1666857231"/>
        <c:axId val="0"/>
      </c:bar3DChart>
      <c:catAx>
        <c:axId val="166685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57231"/>
        <c:crosses val="autoZero"/>
        <c:auto val="1"/>
        <c:lblAlgn val="ctr"/>
        <c:lblOffset val="100"/>
        <c:noMultiLvlLbl val="0"/>
      </c:catAx>
      <c:valAx>
        <c:axId val="166685723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685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1'!$S$38</c:f>
              <c:strCache>
                <c:ptCount val="1"/>
                <c:pt idx="0">
                  <c:v>CAR(%)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1'!$S$39:$S$45</c:f>
              <c:numCache>
                <c:formatCode>General</c:formatCode>
                <c:ptCount val="7"/>
                <c:pt idx="0">
                  <c:v>19.600000000000001</c:v>
                </c:pt>
                <c:pt idx="1">
                  <c:v>16.55</c:v>
                </c:pt>
                <c:pt idx="2">
                  <c:v>14.25</c:v>
                </c:pt>
                <c:pt idx="3">
                  <c:v>22.25</c:v>
                </c:pt>
                <c:pt idx="4">
                  <c:v>17.07</c:v>
                </c:pt>
                <c:pt idx="5">
                  <c:v>17.190000000000001</c:v>
                </c:pt>
                <c:pt idx="6">
                  <c:v>17.010000000000002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B-4B96-9806-64EE2EFA3E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66864911"/>
        <c:axId val="1666865391"/>
        <c:axId val="0"/>
      </c:bar3DChart>
      <c:catAx>
        <c:axId val="1666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65391"/>
        <c:crosses val="autoZero"/>
        <c:auto val="1"/>
        <c:lblAlgn val="ctr"/>
        <c:lblOffset val="100"/>
        <c:noMultiLvlLbl val="0"/>
      </c:catAx>
      <c:valAx>
        <c:axId val="16668653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686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1'!$R$38</c:f>
              <c:strCache>
                <c:ptCount val="1"/>
                <c:pt idx="0">
                  <c:v>Advance Growth(%)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1'!$R$39:$R$45</c:f>
              <c:numCache>
                <c:formatCode>General</c:formatCode>
                <c:ptCount val="7"/>
                <c:pt idx="0">
                  <c:v>5.4</c:v>
                </c:pt>
                <c:pt idx="1">
                  <c:v>13.3</c:v>
                </c:pt>
                <c:pt idx="2">
                  <c:v>12.03</c:v>
                </c:pt>
                <c:pt idx="3">
                  <c:v>13.51</c:v>
                </c:pt>
                <c:pt idx="4">
                  <c:v>7.85</c:v>
                </c:pt>
                <c:pt idx="5">
                  <c:v>12.8</c:v>
                </c:pt>
                <c:pt idx="6">
                  <c:v>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A-43EF-9E79-40A8075B20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66808751"/>
        <c:axId val="1666824591"/>
        <c:axId val="0"/>
      </c:bar3DChart>
      <c:catAx>
        <c:axId val="166680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824591"/>
        <c:crosses val="autoZero"/>
        <c:auto val="1"/>
        <c:lblAlgn val="ctr"/>
        <c:lblOffset val="100"/>
        <c:noMultiLvlLbl val="0"/>
      </c:catAx>
      <c:valAx>
        <c:axId val="16668245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680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1'!$H$38</c:f>
              <c:strCache>
                <c:ptCount val="1"/>
                <c:pt idx="0">
                  <c:v>Price to Book Value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1'!$H$39:$H$45</c:f>
              <c:numCache>
                <c:formatCode>General</c:formatCode>
                <c:ptCount val="7"/>
                <c:pt idx="0">
                  <c:v>2.48</c:v>
                </c:pt>
                <c:pt idx="1">
                  <c:v>3.54</c:v>
                </c:pt>
                <c:pt idx="2">
                  <c:v>1.57</c:v>
                </c:pt>
                <c:pt idx="3">
                  <c:v>3.14</c:v>
                </c:pt>
                <c:pt idx="4">
                  <c:v>1.88</c:v>
                </c:pt>
                <c:pt idx="5">
                  <c:v>1.1000000000000001</c:v>
                </c:pt>
                <c:pt idx="6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B-4F5F-8075-6B1984491C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90719"/>
        <c:axId val="1240800799"/>
        <c:axId val="0"/>
      </c:bar3DChart>
      <c:catAx>
        <c:axId val="124079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00799"/>
        <c:crosses val="autoZero"/>
        <c:auto val="1"/>
        <c:lblAlgn val="ctr"/>
        <c:lblOffset val="100"/>
        <c:noMultiLvlLbl val="0"/>
      </c:catAx>
      <c:valAx>
        <c:axId val="12408007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'BANKING SECTOR ANALYSIS 1'!$X$38</c:f>
              <c:strCache>
                <c:ptCount val="1"/>
                <c:pt idx="0">
                  <c:v>PB/ROE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'BANKING SECTOR ANALYSIS 1'!$A$39:$A$45</c:f>
              <c:strCache>
                <c:ptCount val="7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KOTAK MAHINDRA BANK</c:v>
                </c:pt>
                <c:pt idx="4">
                  <c:v>AXIS BANK</c:v>
                </c:pt>
                <c:pt idx="5">
                  <c:v>BANK OF BARODA</c:v>
                </c:pt>
                <c:pt idx="6">
                  <c:v>PNB</c:v>
                </c:pt>
              </c:strCache>
            </c:strRef>
          </c:cat>
          <c:val>
            <c:numRef>
              <c:f>'BANKING SECTOR ANALYSIS 1'!$X$39:$X$45</c:f>
              <c:numCache>
                <c:formatCode>General</c:formatCode>
                <c:ptCount val="7"/>
                <c:pt idx="0">
                  <c:v>0.16986301369863013</c:v>
                </c:pt>
                <c:pt idx="1">
                  <c:v>0.19721448467966574</c:v>
                </c:pt>
                <c:pt idx="2">
                  <c:v>7.9013588324106696E-2</c:v>
                </c:pt>
                <c:pt idx="3">
                  <c:v>0.206714944042133</c:v>
                </c:pt>
                <c:pt idx="4">
                  <c:v>9.9681866383881226E-2</c:v>
                </c:pt>
                <c:pt idx="5">
                  <c:v>6.4858490566037735E-2</c:v>
                </c:pt>
                <c:pt idx="6">
                  <c:v>6.8941009239516696E-2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6-4928-8168-C2245F0171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0788799"/>
        <c:axId val="1240787359"/>
        <c:axId val="0"/>
      </c:bar3DChart>
      <c:catAx>
        <c:axId val="12407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87359"/>
        <c:crosses val="autoZero"/>
        <c:auto val="1"/>
        <c:lblAlgn val="ctr"/>
        <c:lblOffset val="100"/>
        <c:noMultiLvlLbl val="0"/>
      </c:catAx>
      <c:valAx>
        <c:axId val="12407873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078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203200</xdr:rowOff>
    </xdr:from>
    <xdr:to>
      <xdr:col>3</xdr:col>
      <xdr:colOff>1905000</xdr:colOff>
      <xdr:row>58</xdr:row>
      <xdr:rowOff>260350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C8282F3-DF07-46AB-AF65-A7407174E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514350</xdr:rowOff>
    </xdr:from>
    <xdr:to>
      <xdr:col>4</xdr:col>
      <xdr:colOff>127000</xdr:colOff>
      <xdr:row>15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F0273-AEBD-4B8B-9517-AFA818E9B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0</xdr:row>
      <xdr:rowOff>514350</xdr:rowOff>
    </xdr:from>
    <xdr:to>
      <xdr:col>9</xdr:col>
      <xdr:colOff>114300</xdr:colOff>
      <xdr:row>15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AFB5BB-B3EC-4718-81A8-AF1B2A3C9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577850</xdr:rowOff>
    </xdr:from>
    <xdr:to>
      <xdr:col>4</xdr:col>
      <xdr:colOff>127000</xdr:colOff>
      <xdr:row>34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9C04F6-BB85-4A27-AB45-1285C7C0F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781050</xdr:colOff>
      <xdr:row>19</xdr:row>
      <xdr:rowOff>527050</xdr:rowOff>
    </xdr:from>
    <xdr:to>
      <xdr:col>9</xdr:col>
      <xdr:colOff>57150</xdr:colOff>
      <xdr:row>33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58F8E1-31E2-4949-8627-B14A0B2D8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685800</xdr:colOff>
      <xdr:row>19</xdr:row>
      <xdr:rowOff>520700</xdr:rowOff>
    </xdr:from>
    <xdr:to>
      <xdr:col>13</xdr:col>
      <xdr:colOff>844550</xdr:colOff>
      <xdr:row>33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33D9A0-8347-426E-913C-6E6DF42C1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12700</xdr:rowOff>
    </xdr:from>
    <xdr:to>
      <xdr:col>4</xdr:col>
      <xdr:colOff>127000</xdr:colOff>
      <xdr:row>50</xdr:row>
      <xdr:rowOff>88900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FF0B11-E67C-43C5-89F9-500F01771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9</xdr:col>
      <xdr:colOff>158750</xdr:colOff>
      <xdr:row>50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A861917-17F3-47DF-B422-EE6F626FF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4</xdr:col>
      <xdr:colOff>127000</xdr:colOff>
      <xdr:row>66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751EEF2-4A17-41E7-8FB6-83050F63C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52</xdr:row>
      <xdr:rowOff>0</xdr:rowOff>
    </xdr:from>
    <xdr:to>
      <xdr:col>9</xdr:col>
      <xdr:colOff>158750</xdr:colOff>
      <xdr:row>66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4AA95FD-C3CA-490B-8E32-221109FC6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</xdr:row>
      <xdr:rowOff>552450</xdr:rowOff>
    </xdr:from>
    <xdr:to>
      <xdr:col>7</xdr:col>
      <xdr:colOff>317500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9DD40-3A76-47C8-9010-96785B137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</xdr:colOff>
      <xdr:row>1</xdr:row>
      <xdr:rowOff>558800</xdr:rowOff>
    </xdr:from>
    <xdr:to>
      <xdr:col>14</xdr:col>
      <xdr:colOff>336550</xdr:colOff>
      <xdr:row>19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53C984-E4BC-40A5-85A4-F1CB14DA3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82550</xdr:colOff>
      <xdr:row>1</xdr:row>
      <xdr:rowOff>558800</xdr:rowOff>
    </xdr:from>
    <xdr:to>
      <xdr:col>21</xdr:col>
      <xdr:colOff>387350</xdr:colOff>
      <xdr:row>19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76C884-D1AA-4D6E-A230-E7B47869C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152400</xdr:colOff>
      <xdr:row>2</xdr:row>
      <xdr:rowOff>0</xdr:rowOff>
    </xdr:from>
    <xdr:to>
      <xdr:col>28</xdr:col>
      <xdr:colOff>457200</xdr:colOff>
      <xdr:row>19</xdr:row>
      <xdr:rowOff>44450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6719FE-02E5-47AC-BA83-6D7F63D11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</xdr:row>
      <xdr:rowOff>558800</xdr:rowOff>
    </xdr:from>
    <xdr:to>
      <xdr:col>7</xdr:col>
      <xdr:colOff>304800</xdr:colOff>
      <xdr:row>39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26B5C3-D32E-43E6-A9A0-CA595EB56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69850</xdr:colOff>
      <xdr:row>21</xdr:row>
      <xdr:rowOff>558800</xdr:rowOff>
    </xdr:from>
    <xdr:to>
      <xdr:col>14</xdr:col>
      <xdr:colOff>374650</xdr:colOff>
      <xdr:row>39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443BA2D-B2DF-4C1F-865F-926234DEA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76200</xdr:colOff>
      <xdr:row>22</xdr:row>
      <xdr:rowOff>0</xdr:rowOff>
    </xdr:from>
    <xdr:to>
      <xdr:col>21</xdr:col>
      <xdr:colOff>381000</xdr:colOff>
      <xdr:row>39</xdr:row>
      <xdr:rowOff>44450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C7E7E73-28D3-4740-9D9B-A2EE1A518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41</xdr:row>
      <xdr:rowOff>495300</xdr:rowOff>
    </xdr:from>
    <xdr:to>
      <xdr:col>7</xdr:col>
      <xdr:colOff>304800</xdr:colOff>
      <xdr:row>58</xdr:row>
      <xdr:rowOff>133350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35C4871-62FB-4FC4-87D6-5084D918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60</xdr:row>
      <xdr:rowOff>527050</xdr:rowOff>
    </xdr:from>
    <xdr:to>
      <xdr:col>7</xdr:col>
      <xdr:colOff>304800</xdr:colOff>
      <xdr:row>78</xdr:row>
      <xdr:rowOff>6350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82301E4-8A1C-4ED1-BEB0-D6DE83D74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12700</xdr:colOff>
      <xdr:row>60</xdr:row>
      <xdr:rowOff>508000</xdr:rowOff>
    </xdr:from>
    <xdr:to>
      <xdr:col>14</xdr:col>
      <xdr:colOff>317500</xdr:colOff>
      <xdr:row>77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E657305-D9F3-4B1B-8126-9326DC26A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019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 dataDxfId="1"/>
    <tableColumn id="24" xr3:uid="{00000000-0010-0000-0000-000018000000}" name="Column24" dataDxfId="0"/>
    <tableColumn id="25" xr3:uid="{00000000-0010-0000-0000-000019000000}" name="Column25"/>
    <tableColumn id="26" xr3:uid="{00000000-0010-0000-0000-00001A000000}" name="Column26"/>
  </tableColumns>
  <tableStyleInfo name="BANKING SECTOR ANALYSI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9"/>
  <sheetViews>
    <sheetView workbookViewId="0">
      <selection activeCell="F55" sqref="F55"/>
    </sheetView>
  </sheetViews>
  <sheetFormatPr defaultColWidth="12.6328125" defaultRowHeight="15" customHeight="1" outlineLevelRow="1" x14ac:dyDescent="0.25"/>
  <cols>
    <col min="1" max="1" width="35.90625" customWidth="1"/>
    <col min="2" max="2" width="26.08984375" customWidth="1"/>
    <col min="3" max="3" width="24.08984375" customWidth="1"/>
    <col min="4" max="4" width="30.26953125" customWidth="1"/>
    <col min="5" max="6" width="22.90625" customWidth="1"/>
    <col min="7" max="8" width="29.7265625" customWidth="1"/>
    <col min="9" max="10" width="23.26953125" customWidth="1"/>
    <col min="11" max="11" width="19.90625" customWidth="1"/>
    <col min="12" max="12" width="27.6328125" customWidth="1"/>
    <col min="13" max="13" width="16.36328125" customWidth="1"/>
    <col min="14" max="14" width="22.6328125" customWidth="1"/>
    <col min="15" max="15" width="23.6328125" customWidth="1"/>
    <col min="16" max="16" width="23.90625" customWidth="1"/>
    <col min="17" max="17" width="25.90625" customWidth="1"/>
    <col min="18" max="18" width="22.08984375" customWidth="1"/>
    <col min="19" max="19" width="29.453125" customWidth="1"/>
    <col min="20" max="20" width="25.26953125" customWidth="1"/>
    <col min="21" max="21" width="22.453125" customWidth="1"/>
    <col min="22" max="22" width="18.453125" customWidth="1"/>
    <col min="23" max="23" width="29.81640625" style="6" customWidth="1"/>
    <col min="24" max="24" width="27.6328125" style="9" customWidth="1"/>
    <col min="25" max="26" width="10.7265625" customWidth="1"/>
  </cols>
  <sheetData>
    <row r="1" spans="1:2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/>
      <c r="X1" s="7"/>
      <c r="Y1" s="2"/>
      <c r="Z1" s="2"/>
    </row>
    <row r="2" spans="1:26" ht="41.25" customHeight="1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5" t="s">
        <v>44</v>
      </c>
      <c r="X2" s="8" t="s">
        <v>64</v>
      </c>
      <c r="Y2" s="2"/>
      <c r="Z2" s="2"/>
    </row>
    <row r="3" spans="1:26" ht="27" customHeight="1" x14ac:dyDescent="0.25">
      <c r="A3" s="1" t="s">
        <v>45</v>
      </c>
      <c r="B3" s="1" t="s">
        <v>46</v>
      </c>
      <c r="C3" s="1" t="s">
        <v>47</v>
      </c>
      <c r="D3" s="1">
        <v>1481</v>
      </c>
      <c r="E3" s="1">
        <v>551.28</v>
      </c>
      <c r="F3" s="1">
        <v>816445.68</v>
      </c>
      <c r="G3" s="1">
        <v>372.08</v>
      </c>
      <c r="H3" s="1">
        <v>3.98</v>
      </c>
      <c r="I3" s="1">
        <v>56.58</v>
      </c>
      <c r="J3" s="1">
        <v>26.18</v>
      </c>
      <c r="K3" s="1">
        <v>31116.53</v>
      </c>
      <c r="L3" s="1">
        <v>203720.83</v>
      </c>
      <c r="M3" s="1">
        <v>16.600000000000001</v>
      </c>
      <c r="N3" s="1">
        <v>1.32</v>
      </c>
      <c r="O3" s="1">
        <v>0.4</v>
      </c>
      <c r="P3" s="1">
        <v>69.81</v>
      </c>
      <c r="Q3" s="1">
        <v>46.1</v>
      </c>
      <c r="R3" s="1">
        <v>14</v>
      </c>
      <c r="S3" s="1">
        <v>18.8</v>
      </c>
      <c r="T3" s="1">
        <v>4.0999999999999996</v>
      </c>
      <c r="U3" s="1">
        <v>1.97</v>
      </c>
      <c r="V3" s="1">
        <v>0.44</v>
      </c>
      <c r="W3" s="5">
        <f>F3*100/F10</f>
        <v>35.929619292545155</v>
      </c>
      <c r="X3" s="7">
        <f t="shared" ref="X3:X9" si="0">H3/M3</f>
        <v>0.2397590361445783</v>
      </c>
      <c r="Y3" s="2"/>
      <c r="Z3" s="2"/>
    </row>
    <row r="4" spans="1:26" ht="30" customHeight="1" x14ac:dyDescent="0.25">
      <c r="A4" s="1" t="s">
        <v>48</v>
      </c>
      <c r="B4" s="1" t="s">
        <v>46</v>
      </c>
      <c r="C4" s="1" t="s">
        <v>47</v>
      </c>
      <c r="D4" s="1">
        <v>660.7</v>
      </c>
      <c r="E4" s="1">
        <v>691.6</v>
      </c>
      <c r="F4" s="1">
        <v>456940.12</v>
      </c>
      <c r="G4" s="1">
        <v>213.28</v>
      </c>
      <c r="H4" s="1">
        <v>3.1</v>
      </c>
      <c r="I4" s="1">
        <v>24.01</v>
      </c>
      <c r="J4" s="1">
        <v>27.52</v>
      </c>
      <c r="K4" s="1">
        <v>16192.68</v>
      </c>
      <c r="L4" s="1">
        <v>147509.18</v>
      </c>
      <c r="M4" s="1">
        <v>12.21</v>
      </c>
      <c r="N4" s="1">
        <v>4.96</v>
      </c>
      <c r="O4" s="1">
        <v>1.1399999999999999</v>
      </c>
      <c r="P4" s="1">
        <v>77.7</v>
      </c>
      <c r="Q4" s="1">
        <v>46.28</v>
      </c>
      <c r="R4" s="1">
        <v>13.71</v>
      </c>
      <c r="S4" s="1">
        <v>19.12</v>
      </c>
      <c r="T4" s="1">
        <v>3.69</v>
      </c>
      <c r="U4" s="1">
        <v>1.42</v>
      </c>
      <c r="V4" s="1">
        <v>0.3</v>
      </c>
      <c r="W4" s="5">
        <f>F4*100/F10</f>
        <v>20.108728545284112</v>
      </c>
      <c r="X4" s="7">
        <f t="shared" si="0"/>
        <v>0.25389025389025388</v>
      </c>
      <c r="Y4" s="2"/>
      <c r="Z4" s="2"/>
    </row>
    <row r="5" spans="1:26" ht="31.5" customHeight="1" x14ac:dyDescent="0.25">
      <c r="A5" s="1" t="s">
        <v>49</v>
      </c>
      <c r="B5" s="1" t="s">
        <v>46</v>
      </c>
      <c r="C5" s="1" t="s">
        <v>50</v>
      </c>
      <c r="D5" s="1">
        <v>401.85</v>
      </c>
      <c r="E5" s="1">
        <v>892.46</v>
      </c>
      <c r="F5" s="1">
        <v>358635.05</v>
      </c>
      <c r="G5" s="1">
        <v>240.5</v>
      </c>
      <c r="H5" s="1">
        <v>1.67</v>
      </c>
      <c r="I5" s="1">
        <v>22.87</v>
      </c>
      <c r="J5" s="1">
        <v>17.57</v>
      </c>
      <c r="K5" s="1">
        <v>20410.47</v>
      </c>
      <c r="L5" s="1">
        <v>214666.27</v>
      </c>
      <c r="M5" s="1">
        <v>9.94</v>
      </c>
      <c r="N5" s="1">
        <v>4.9800000000000004</v>
      </c>
      <c r="O5" s="1">
        <v>1.5</v>
      </c>
      <c r="P5" s="1">
        <v>87.87</v>
      </c>
      <c r="Q5" s="1">
        <v>46.13</v>
      </c>
      <c r="R5" s="1">
        <v>4.8099999999999996</v>
      </c>
      <c r="S5" s="1">
        <v>13.74</v>
      </c>
      <c r="T5" s="1">
        <v>3.26</v>
      </c>
      <c r="U5" s="1">
        <v>0.48</v>
      </c>
      <c r="V5" s="1">
        <v>1</v>
      </c>
      <c r="W5" s="5">
        <f>F5*100/F10</f>
        <v>15.782581899953096</v>
      </c>
      <c r="X5" s="7">
        <f t="shared" si="0"/>
        <v>0.16800804828973842</v>
      </c>
      <c r="Y5" s="2"/>
      <c r="Z5" s="2"/>
    </row>
    <row r="6" spans="1:26" ht="45.75" customHeight="1" x14ac:dyDescent="0.25">
      <c r="A6" s="1" t="s">
        <v>51</v>
      </c>
      <c r="B6" s="1" t="s">
        <v>46</v>
      </c>
      <c r="C6" s="1" t="s">
        <v>47</v>
      </c>
      <c r="D6" s="1">
        <v>1642</v>
      </c>
      <c r="E6" s="1">
        <v>198.05</v>
      </c>
      <c r="F6" s="1">
        <v>325198.09999999998</v>
      </c>
      <c r="G6" s="1">
        <v>422.58</v>
      </c>
      <c r="H6" s="1">
        <v>3.89</v>
      </c>
      <c r="I6" s="1">
        <v>35.130000000000003</v>
      </c>
      <c r="J6" s="1">
        <v>46.74</v>
      </c>
      <c r="K6" s="1">
        <v>6964.84</v>
      </c>
      <c r="L6" s="1">
        <v>83694.02</v>
      </c>
      <c r="M6" s="1">
        <v>8.8699999999999992</v>
      </c>
      <c r="N6" s="1">
        <v>3.25</v>
      </c>
      <c r="O6" s="1">
        <v>1.21</v>
      </c>
      <c r="P6" s="1">
        <v>63.6</v>
      </c>
      <c r="Q6" s="1">
        <v>60.4</v>
      </c>
      <c r="R6" s="1">
        <v>1.8</v>
      </c>
      <c r="S6" s="1">
        <v>22.3</v>
      </c>
      <c r="T6" s="1">
        <v>4.49</v>
      </c>
      <c r="U6" s="1">
        <v>1.9</v>
      </c>
      <c r="V6" s="1">
        <v>0.05</v>
      </c>
      <c r="W6" s="5">
        <f>F6*100/F10</f>
        <v>14.311109990390332</v>
      </c>
      <c r="X6" s="7">
        <f t="shared" si="0"/>
        <v>0.43855693348365282</v>
      </c>
      <c r="Y6" s="2"/>
      <c r="Z6" s="2"/>
    </row>
    <row r="7" spans="1:26" ht="43.5" customHeight="1" x14ac:dyDescent="0.25">
      <c r="A7" s="1" t="s">
        <v>52</v>
      </c>
      <c r="B7" s="1" t="s">
        <v>46</v>
      </c>
      <c r="C7" s="1" t="s">
        <v>47</v>
      </c>
      <c r="D7" s="1">
        <v>754.85</v>
      </c>
      <c r="E7" s="1">
        <v>306.39999999999998</v>
      </c>
      <c r="F7" s="1">
        <v>231286.04</v>
      </c>
      <c r="G7" s="1">
        <v>331.03</v>
      </c>
      <c r="H7" s="1">
        <v>2.2799999999999998</v>
      </c>
      <c r="I7" s="1">
        <v>21.69</v>
      </c>
      <c r="J7" s="1">
        <v>34.799999999999997</v>
      </c>
      <c r="K7" s="1">
        <v>6588.5</v>
      </c>
      <c r="L7" s="1">
        <v>101603.01</v>
      </c>
      <c r="M7" s="1">
        <v>7.06</v>
      </c>
      <c r="N7" s="1">
        <v>3.7</v>
      </c>
      <c r="O7" s="1">
        <v>1.05</v>
      </c>
      <c r="P7" s="1">
        <v>72</v>
      </c>
      <c r="Q7" s="1">
        <v>45</v>
      </c>
      <c r="R7" s="1">
        <v>9.17</v>
      </c>
      <c r="S7" s="1">
        <v>19.12</v>
      </c>
      <c r="T7" s="1">
        <v>3.56</v>
      </c>
      <c r="U7" s="1">
        <v>0.7</v>
      </c>
      <c r="V7" s="1">
        <v>0</v>
      </c>
      <c r="W7" s="5">
        <f>F7*100/F10</f>
        <v>10.178288119401122</v>
      </c>
      <c r="X7" s="7">
        <f t="shared" si="0"/>
        <v>0.32294617563739375</v>
      </c>
      <c r="Y7" s="2"/>
      <c r="Z7" s="2"/>
    </row>
    <row r="8" spans="1:26" ht="46.5" customHeight="1" x14ac:dyDescent="0.25">
      <c r="A8" s="1" t="s">
        <v>53</v>
      </c>
      <c r="B8" s="1" t="s">
        <v>46</v>
      </c>
      <c r="C8" s="1" t="s">
        <v>50</v>
      </c>
      <c r="D8" s="1">
        <v>83.15</v>
      </c>
      <c r="E8" s="1">
        <v>462.09</v>
      </c>
      <c r="F8" s="1">
        <v>38422.78</v>
      </c>
      <c r="G8" s="1">
        <v>118.42</v>
      </c>
      <c r="H8" s="1">
        <v>0.7</v>
      </c>
      <c r="I8" s="1">
        <v>1.79</v>
      </c>
      <c r="J8" s="1">
        <v>46.45</v>
      </c>
      <c r="K8" s="1">
        <v>828.96</v>
      </c>
      <c r="L8" s="1">
        <v>54723.18</v>
      </c>
      <c r="M8" s="1">
        <v>1.5</v>
      </c>
      <c r="N8" s="1">
        <v>8.8699999999999992</v>
      </c>
      <c r="O8" s="1">
        <v>3.09</v>
      </c>
      <c r="P8" s="1">
        <v>81.8</v>
      </c>
      <c r="Q8" s="1">
        <v>42.87</v>
      </c>
      <c r="R8" s="1">
        <v>2.06</v>
      </c>
      <c r="S8" s="1">
        <v>14.99</v>
      </c>
      <c r="T8" s="1">
        <v>2.71</v>
      </c>
      <c r="U8" s="1">
        <v>7.0000000000000007E-2</v>
      </c>
      <c r="V8" s="1">
        <v>0</v>
      </c>
      <c r="W8" s="5">
        <f>F8*100/F10</f>
        <v>1.6908851273010816</v>
      </c>
      <c r="X8" s="7">
        <f t="shared" si="0"/>
        <v>0.46666666666666662</v>
      </c>
      <c r="Y8" s="2"/>
      <c r="Z8" s="2"/>
    </row>
    <row r="9" spans="1:26" ht="44.25" customHeight="1" x14ac:dyDescent="0.25">
      <c r="A9" s="1" t="s">
        <v>54</v>
      </c>
      <c r="B9" s="1" t="s">
        <v>46</v>
      </c>
      <c r="C9" s="1" t="s">
        <v>50</v>
      </c>
      <c r="D9" s="1">
        <v>42.45</v>
      </c>
      <c r="E9" s="1">
        <v>1069.95</v>
      </c>
      <c r="F9" s="1">
        <v>45419.38</v>
      </c>
      <c r="G9" s="1">
        <v>84.97</v>
      </c>
      <c r="H9" s="1">
        <v>0.5</v>
      </c>
      <c r="I9" s="1">
        <v>2.15</v>
      </c>
      <c r="J9" s="1">
        <v>19.739999999999998</v>
      </c>
      <c r="K9" s="1">
        <v>2021.62</v>
      </c>
      <c r="L9" s="1">
        <v>90911.33</v>
      </c>
      <c r="M9" s="1">
        <v>2.76</v>
      </c>
      <c r="N9" s="1">
        <v>14.34</v>
      </c>
      <c r="O9" s="1">
        <v>5.73</v>
      </c>
      <c r="P9" s="1">
        <v>63.06</v>
      </c>
      <c r="Q9" s="1">
        <v>44.35</v>
      </c>
      <c r="R9" s="1">
        <v>-3.53</v>
      </c>
      <c r="S9" s="1">
        <v>14.32</v>
      </c>
      <c r="T9" s="1">
        <v>3.06</v>
      </c>
      <c r="U9" s="1">
        <v>0.17</v>
      </c>
      <c r="V9" s="1">
        <v>1.41</v>
      </c>
      <c r="W9" s="5">
        <f>F9*100/F10</f>
        <v>1.9987870251251003</v>
      </c>
      <c r="X9" s="7">
        <f t="shared" si="0"/>
        <v>0.1811594202898551</v>
      </c>
      <c r="Y9" s="2"/>
      <c r="Z9" s="2"/>
    </row>
    <row r="10" spans="1:26" ht="36" customHeight="1" outlineLevel="1" x14ac:dyDescent="0.25">
      <c r="A10" s="1" t="s">
        <v>55</v>
      </c>
      <c r="B10" s="1" t="s">
        <v>46</v>
      </c>
      <c r="C10" s="1"/>
      <c r="D10" s="1"/>
      <c r="E10" s="1"/>
      <c r="F10" s="1">
        <f>SUM(F3:F9)</f>
        <v>2272347.15</v>
      </c>
      <c r="G10" s="1"/>
      <c r="H10" s="1">
        <f>SUMPRODUCT(H3:H9, W3:W9)/100</f>
        <v>3.1275358292415842</v>
      </c>
      <c r="I10" s="1">
        <f>SUMPRODUCT(I3:I9, W3:W9)/100</f>
        <v>36.074965197505144</v>
      </c>
      <c r="J10" s="1">
        <f>SUMPRODUCT(J3:J9, W3:W9)/100</f>
        <v>29.124329841723348</v>
      </c>
      <c r="K10" s="1"/>
      <c r="L10" s="1"/>
      <c r="M10" s="1">
        <f>SUMPRODUCT(M3:M9, W3:W9)/100</f>
        <v>12.056893594977332</v>
      </c>
      <c r="N10" s="1">
        <f>SUMPRODUCT(N3:N9, W3:W9)/100</f>
        <v>3.5359517944254248</v>
      </c>
      <c r="O10" s="1">
        <f>SUMPRODUCT(O3:O9, W3:W9)/100</f>
        <v>1.0565120141964224</v>
      </c>
      <c r="P10" s="1">
        <f>SUMPRODUCT(P3:P9, W3:W9)/100</f>
        <v>73.648916555333557</v>
      </c>
      <c r="Q10" s="1">
        <f>SUMPRODUCT(Q3:Q9, W3:W9)/100</f>
        <v>47.985863682712392</v>
      </c>
      <c r="R10" s="1">
        <f>SUMPRODUCT(R3:R9, W3:W9)/100</f>
        <v>9.701419625914113</v>
      </c>
      <c r="S10" s="1">
        <f>SUMPRODUCT(S3:S9, W3:W9)/100</f>
        <v>18.445240276777252</v>
      </c>
      <c r="T10" s="1">
        <f>SUMPRODUCT(T3:T9, W3:W9)/100</f>
        <v>3.841540409791699</v>
      </c>
      <c r="U10" s="1">
        <f>SUMPRODUCT(U3:U9, W3:W9)/100</f>
        <v>1.4168545027109962</v>
      </c>
      <c r="V10" s="1">
        <f>SUMPRODUCT(V3:V9,W3:W9)/100</f>
        <v>0.41158078157204103</v>
      </c>
      <c r="W10" s="5">
        <f>SUM(W3:W9)</f>
        <v>100</v>
      </c>
      <c r="X10" s="7">
        <f>SUMPRODUCT(X3:X9, W3:W9)/100</f>
        <v>0.27085916428036072</v>
      </c>
      <c r="Y10" s="2"/>
      <c r="Z10" s="2"/>
    </row>
    <row r="11" spans="1:26" ht="33.75" customHeight="1" x14ac:dyDescent="0.25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37</v>
      </c>
      <c r="Q11" s="1" t="s">
        <v>38</v>
      </c>
      <c r="R11" s="1" t="s">
        <v>39</v>
      </c>
      <c r="S11" s="1" t="s">
        <v>40</v>
      </c>
      <c r="T11" s="1" t="s">
        <v>41</v>
      </c>
      <c r="U11" s="1" t="s">
        <v>42</v>
      </c>
      <c r="V11" s="1" t="s">
        <v>43</v>
      </c>
      <c r="W11" s="5" t="s">
        <v>44</v>
      </c>
      <c r="X11" s="8" t="s">
        <v>64</v>
      </c>
      <c r="Y11" s="2"/>
      <c r="Z11" s="2"/>
    </row>
    <row r="12" spans="1:26" ht="33" customHeight="1" x14ac:dyDescent="0.25">
      <c r="A12" s="1" t="s">
        <v>45</v>
      </c>
      <c r="B12" s="1" t="s">
        <v>56</v>
      </c>
      <c r="C12" s="1" t="s">
        <v>47</v>
      </c>
      <c r="D12" s="1">
        <v>1363.85</v>
      </c>
      <c r="E12" s="1">
        <v>554.54999999999995</v>
      </c>
      <c r="F12" s="1">
        <v>756325.28</v>
      </c>
      <c r="G12" s="1">
        <v>432.88</v>
      </c>
      <c r="H12" s="1">
        <v>3.15</v>
      </c>
      <c r="I12" s="1">
        <v>66.8</v>
      </c>
      <c r="J12" s="1">
        <v>20.420000000000002</v>
      </c>
      <c r="K12" s="1">
        <v>36961.360000000001</v>
      </c>
      <c r="L12" s="1">
        <v>240092.9</v>
      </c>
      <c r="M12" s="1">
        <v>16.899999999999999</v>
      </c>
      <c r="N12" s="1">
        <v>1.17</v>
      </c>
      <c r="O12" s="1">
        <v>0.32</v>
      </c>
      <c r="P12" s="1">
        <v>72.7</v>
      </c>
      <c r="Q12" s="1">
        <v>48.2</v>
      </c>
      <c r="R12" s="1">
        <v>20.84</v>
      </c>
      <c r="S12" s="1">
        <v>18.899999999999999</v>
      </c>
      <c r="T12" s="1">
        <v>4</v>
      </c>
      <c r="U12" s="1">
        <v>2.0299999999999998</v>
      </c>
      <c r="V12" s="1">
        <v>1.1399999999999999</v>
      </c>
      <c r="W12" s="5">
        <f>F12*100/F19</f>
        <v>31.578609083794543</v>
      </c>
      <c r="X12" s="7">
        <f t="shared" ref="X12:X18" si="1">H12/M12</f>
        <v>0.18639053254437871</v>
      </c>
      <c r="Y12" s="2"/>
      <c r="Z12" s="2"/>
    </row>
    <row r="13" spans="1:26" ht="43.5" customHeight="1" x14ac:dyDescent="0.25">
      <c r="A13" s="1" t="s">
        <v>48</v>
      </c>
      <c r="B13" s="1" t="s">
        <v>56</v>
      </c>
      <c r="C13" s="1" t="s">
        <v>47</v>
      </c>
      <c r="D13" s="1">
        <v>818.7</v>
      </c>
      <c r="E13" s="1">
        <v>695</v>
      </c>
      <c r="F13" s="1">
        <v>568996.5</v>
      </c>
      <c r="G13" s="1">
        <v>245.38</v>
      </c>
      <c r="H13" s="1">
        <v>3.34</v>
      </c>
      <c r="I13" s="1">
        <v>33.659999999999997</v>
      </c>
      <c r="J13" s="1">
        <v>24.32</v>
      </c>
      <c r="K13" s="1">
        <v>23339.49</v>
      </c>
      <c r="L13" s="1">
        <v>170511.98</v>
      </c>
      <c r="M13" s="1">
        <v>14.8</v>
      </c>
      <c r="N13" s="1">
        <v>3.6</v>
      </c>
      <c r="O13" s="1">
        <v>0.76</v>
      </c>
      <c r="P13" s="1">
        <v>79.2</v>
      </c>
      <c r="Q13" s="1">
        <v>48.7</v>
      </c>
      <c r="R13" s="1">
        <v>17.100000000000001</v>
      </c>
      <c r="S13" s="1">
        <v>19.16</v>
      </c>
      <c r="T13" s="1">
        <v>3.96</v>
      </c>
      <c r="U13" s="1">
        <v>1.84</v>
      </c>
      <c r="V13" s="1">
        <v>0.61</v>
      </c>
      <c r="W13" s="5">
        <f>F13*100/F19</f>
        <v>23.757130058573875</v>
      </c>
      <c r="X13" s="7">
        <f t="shared" si="1"/>
        <v>0.22567567567567565</v>
      </c>
      <c r="Y13" s="2"/>
      <c r="Z13" s="2"/>
    </row>
    <row r="14" spans="1:26" ht="51" customHeight="1" x14ac:dyDescent="0.25">
      <c r="A14" s="1" t="s">
        <v>49</v>
      </c>
      <c r="B14" s="1" t="s">
        <v>56</v>
      </c>
      <c r="C14" s="1" t="s">
        <v>50</v>
      </c>
      <c r="D14" s="1">
        <v>445.35</v>
      </c>
      <c r="E14" s="1">
        <v>892.46</v>
      </c>
      <c r="F14" s="1">
        <v>397457.06</v>
      </c>
      <c r="G14" s="1">
        <v>314.39</v>
      </c>
      <c r="H14" s="1">
        <v>1.42</v>
      </c>
      <c r="I14" s="1">
        <v>35.49</v>
      </c>
      <c r="J14" s="1">
        <v>12.55</v>
      </c>
      <c r="K14" s="1">
        <v>31675.98</v>
      </c>
      <c r="L14" s="1">
        <v>280088</v>
      </c>
      <c r="M14" s="1">
        <v>13.92</v>
      </c>
      <c r="N14" s="1">
        <v>3.97</v>
      </c>
      <c r="O14" s="1">
        <v>1.02</v>
      </c>
      <c r="P14" s="1">
        <v>75.040000000000006</v>
      </c>
      <c r="Q14" s="1">
        <v>45.28</v>
      </c>
      <c r="R14" s="1">
        <v>11.61</v>
      </c>
      <c r="S14" s="1">
        <v>13.83</v>
      </c>
      <c r="T14" s="1">
        <v>3.12</v>
      </c>
      <c r="U14" s="1">
        <v>0.67</v>
      </c>
      <c r="V14" s="1">
        <v>1.59</v>
      </c>
      <c r="W14" s="5">
        <f>F14*100/F19</f>
        <v>16.594898329108176</v>
      </c>
      <c r="X14" s="7">
        <f t="shared" si="1"/>
        <v>0.10201149425287356</v>
      </c>
      <c r="Y14" s="2"/>
      <c r="Z14" s="2"/>
    </row>
    <row r="15" spans="1:26" ht="35.25" customHeight="1" x14ac:dyDescent="0.25">
      <c r="A15" s="1" t="s">
        <v>51</v>
      </c>
      <c r="B15" s="1" t="s">
        <v>56</v>
      </c>
      <c r="C15" s="1" t="s">
        <v>47</v>
      </c>
      <c r="D15" s="1">
        <v>1827</v>
      </c>
      <c r="E15" s="1">
        <v>198.4</v>
      </c>
      <c r="F15" s="1">
        <v>362476.79999999999</v>
      </c>
      <c r="G15" s="1">
        <v>486.9</v>
      </c>
      <c r="H15" s="1">
        <v>3.75</v>
      </c>
      <c r="I15" s="1">
        <v>43.02</v>
      </c>
      <c r="J15" s="1">
        <v>42.47</v>
      </c>
      <c r="K15" s="1">
        <v>8572.69</v>
      </c>
      <c r="L15" s="1">
        <v>97134.03</v>
      </c>
      <c r="M15" s="1">
        <v>12.35</v>
      </c>
      <c r="N15" s="1">
        <v>2.34</v>
      </c>
      <c r="O15" s="1">
        <v>0.64</v>
      </c>
      <c r="P15" s="1">
        <v>79.05</v>
      </c>
      <c r="Q15" s="1">
        <v>60.7</v>
      </c>
      <c r="R15" s="1">
        <v>21.27</v>
      </c>
      <c r="S15" s="1">
        <v>22.7</v>
      </c>
      <c r="T15" s="1">
        <v>4.78</v>
      </c>
      <c r="U15" s="1">
        <v>2.15</v>
      </c>
      <c r="V15" s="1">
        <v>0.06</v>
      </c>
      <c r="W15" s="5">
        <f>F15*100/F19</f>
        <v>15.134378648753851</v>
      </c>
      <c r="X15" s="7">
        <f t="shared" si="1"/>
        <v>0.30364372469635631</v>
      </c>
      <c r="Y15" s="2"/>
      <c r="Z15" s="2"/>
    </row>
    <row r="16" spans="1:26" ht="37.5" customHeight="1" x14ac:dyDescent="0.25">
      <c r="A16" s="1" t="s">
        <v>52</v>
      </c>
      <c r="B16" s="1" t="s">
        <v>56</v>
      </c>
      <c r="C16" s="1" t="s">
        <v>47</v>
      </c>
      <c r="D16" s="1">
        <v>725.6</v>
      </c>
      <c r="E16" s="1">
        <v>307</v>
      </c>
      <c r="F16" s="1">
        <v>222759.2</v>
      </c>
      <c r="G16" s="1">
        <v>375</v>
      </c>
      <c r="H16" s="1">
        <v>1.94</v>
      </c>
      <c r="I16" s="1">
        <v>42.48</v>
      </c>
      <c r="J16" s="1">
        <v>17.079999999999998</v>
      </c>
      <c r="K16" s="1">
        <v>13025.48</v>
      </c>
      <c r="L16" s="1">
        <v>115025.46</v>
      </c>
      <c r="M16" s="1">
        <v>12.91</v>
      </c>
      <c r="N16" s="1">
        <v>2.82</v>
      </c>
      <c r="O16" s="1">
        <v>0.73</v>
      </c>
      <c r="P16" s="1">
        <v>75</v>
      </c>
      <c r="Q16" s="1">
        <v>45</v>
      </c>
      <c r="R16" s="1">
        <v>15.19</v>
      </c>
      <c r="S16" s="1">
        <v>18.54</v>
      </c>
      <c r="T16" s="1">
        <v>3.47</v>
      </c>
      <c r="U16" s="1">
        <v>1.21</v>
      </c>
      <c r="V16" s="1">
        <v>0.14000000000000001</v>
      </c>
      <c r="W16" s="5">
        <f>F16*100/F19</f>
        <v>9.3007940930108877</v>
      </c>
      <c r="X16" s="7">
        <f t="shared" si="1"/>
        <v>0.15027110766847404</v>
      </c>
      <c r="Y16" s="2"/>
      <c r="Z16" s="2"/>
    </row>
    <row r="17" spans="1:26" ht="35.25" customHeight="1" x14ac:dyDescent="0.25">
      <c r="A17" s="1" t="s">
        <v>53</v>
      </c>
      <c r="B17" s="1" t="s">
        <v>56</v>
      </c>
      <c r="C17" s="1" t="s">
        <v>50</v>
      </c>
      <c r="D17" s="1">
        <v>102.2</v>
      </c>
      <c r="E17" s="1">
        <v>517.14</v>
      </c>
      <c r="F17" s="1">
        <v>52851.71</v>
      </c>
      <c r="G17" s="1">
        <v>118.53</v>
      </c>
      <c r="H17" s="1">
        <v>0.86</v>
      </c>
      <c r="I17" s="1">
        <v>14.06</v>
      </c>
      <c r="J17" s="1">
        <v>7.27</v>
      </c>
      <c r="K17" s="1">
        <v>7272.28</v>
      </c>
      <c r="L17" s="1">
        <v>61298.73</v>
      </c>
      <c r="M17" s="1">
        <v>11.86</v>
      </c>
      <c r="N17" s="1">
        <v>6.61</v>
      </c>
      <c r="O17" s="1">
        <v>1.72</v>
      </c>
      <c r="P17" s="1">
        <v>88.71</v>
      </c>
      <c r="Q17" s="1">
        <v>44.24</v>
      </c>
      <c r="R17" s="1">
        <v>10.029999999999999</v>
      </c>
      <c r="S17" s="1">
        <v>15.68</v>
      </c>
      <c r="T17" s="1">
        <v>3.03</v>
      </c>
      <c r="U17" s="1">
        <v>0.6</v>
      </c>
      <c r="V17" s="1">
        <v>2.79</v>
      </c>
      <c r="W17" s="5">
        <f>F17*100/F19</f>
        <v>2.206700653322172</v>
      </c>
      <c r="X17" s="7">
        <f t="shared" si="1"/>
        <v>7.2512647554806076E-2</v>
      </c>
      <c r="Y17" s="2"/>
      <c r="Z17" s="2"/>
    </row>
    <row r="18" spans="1:26" ht="39" customHeight="1" x14ac:dyDescent="0.25">
      <c r="A18" s="1" t="s">
        <v>54</v>
      </c>
      <c r="B18" s="1" t="s">
        <v>56</v>
      </c>
      <c r="C18" s="1" t="s">
        <v>50</v>
      </c>
      <c r="D18" s="1">
        <v>31.05</v>
      </c>
      <c r="E18" s="1">
        <v>1101.0999999999999</v>
      </c>
      <c r="F18" s="1">
        <v>34189.160000000003</v>
      </c>
      <c r="G18" s="1">
        <v>90.69</v>
      </c>
      <c r="H18" s="1">
        <v>0.34</v>
      </c>
      <c r="I18" s="1">
        <v>3.16</v>
      </c>
      <c r="J18" s="1">
        <v>9.83</v>
      </c>
      <c r="K18" s="1">
        <v>3456.96</v>
      </c>
      <c r="L18" s="1">
        <v>99855.66</v>
      </c>
      <c r="M18" s="1">
        <v>3.88</v>
      </c>
      <c r="N18" s="1">
        <v>11.78</v>
      </c>
      <c r="O18" s="1">
        <v>4.8</v>
      </c>
      <c r="P18" s="1">
        <v>62.24</v>
      </c>
      <c r="Q18" s="1">
        <v>47.43</v>
      </c>
      <c r="R18" s="1">
        <v>7.84</v>
      </c>
      <c r="S18" s="1">
        <v>14.5</v>
      </c>
      <c r="T18" s="1">
        <v>2.79</v>
      </c>
      <c r="U18" s="1">
        <v>0.26</v>
      </c>
      <c r="V18" s="1">
        <v>2.06</v>
      </c>
      <c r="W18" s="5">
        <f>F18*100/F19</f>
        <v>1.4274891334364828</v>
      </c>
      <c r="X18" s="7">
        <f t="shared" si="1"/>
        <v>8.7628865979381451E-2</v>
      </c>
      <c r="Y18" s="2"/>
      <c r="Z18" s="2"/>
    </row>
    <row r="19" spans="1:26" ht="26.25" customHeight="1" x14ac:dyDescent="0.25">
      <c r="A19" s="1" t="s">
        <v>55</v>
      </c>
      <c r="B19" s="1" t="s">
        <v>56</v>
      </c>
      <c r="C19" s="1"/>
      <c r="D19" s="1"/>
      <c r="E19" s="1"/>
      <c r="F19" s="1">
        <f>SUM(F12:F18)</f>
        <v>2395055.7100000004</v>
      </c>
      <c r="G19" s="1"/>
      <c r="H19" s="1">
        <f>SUMPRODUCT(H12:H18, W12:W18)/100</f>
        <v>2.7956675797741672</v>
      </c>
      <c r="I19" s="1">
        <f>SUMPRODUCT(I12:I18, W12:W18)/100</f>
        <v>45.79784805656984</v>
      </c>
      <c r="J19" s="1">
        <f>SUMPRODUCT(J12:J18, W12:W18)/100</f>
        <v>22.625641307984434</v>
      </c>
      <c r="K19" s="1"/>
      <c r="L19" s="1"/>
      <c r="M19" s="1">
        <f>SUMPRODUCT(M12:M18, W12:W18)/100</f>
        <v>14.549779587632219</v>
      </c>
      <c r="N19" s="1">
        <f>SUMPRODUCT(N12:N18, W12:W18)/100</f>
        <v>2.8139918589618107</v>
      </c>
      <c r="O19" s="1">
        <f>SUMPRODUCT(O12:O18, W12:W18)/100</f>
        <v>0.72210425034330417</v>
      </c>
      <c r="P19" s="1">
        <f>SUMPRODUCT(P12:P18, W12:W18)/100</f>
        <v>76.011462794282949</v>
      </c>
      <c r="Q19" s="1">
        <f>SUMPRODUCT(Q12:Q18, W12:W18)/100</f>
        <v>49.330009527001764</v>
      </c>
      <c r="R19" s="1">
        <f>SUMPRODUCT(R12:R18, W12:W18)/100</f>
        <v>17.535239253996306</v>
      </c>
      <c r="S19" s="1">
        <f>SUMPRODUCT(S12:S18, W12:W18)/100</f>
        <v>18.528165439876133</v>
      </c>
      <c r="T19" s="1">
        <f>SUMPRODUCT(T12:T18, W12:W18)/100</f>
        <v>3.8745383725959344</v>
      </c>
      <c r="U19" s="1">
        <f>SUMPRODUCT(U12:U18, W12:W18)/100</f>
        <v>1.6442432014243207</v>
      </c>
      <c r="V19" s="1">
        <f>SUMPRODUCT(V12:V18, W12:W18)/100</f>
        <v>0.88184848364132618</v>
      </c>
      <c r="W19" s="5">
        <f>SUM(W12:W18)</f>
        <v>99.999999999999986</v>
      </c>
      <c r="X19" s="7">
        <f>SUMPRODUCT(X12:X18, W12:W18)/100</f>
        <v>0.19218433212869634</v>
      </c>
      <c r="Y19" s="2"/>
      <c r="Z19" s="2"/>
    </row>
    <row r="20" spans="1:26" ht="33.75" customHeight="1" x14ac:dyDescent="0.25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  <c r="K20" s="1" t="s">
        <v>32</v>
      </c>
      <c r="L20" s="1" t="s">
        <v>33</v>
      </c>
      <c r="M20" s="1" t="s">
        <v>34</v>
      </c>
      <c r="N20" s="1" t="s">
        <v>35</v>
      </c>
      <c r="O20" s="1" t="s">
        <v>36</v>
      </c>
      <c r="P20" s="1" t="s">
        <v>37</v>
      </c>
      <c r="Q20" s="1" t="s">
        <v>38</v>
      </c>
      <c r="R20" s="1" t="s">
        <v>39</v>
      </c>
      <c r="S20" s="1" t="s">
        <v>40</v>
      </c>
      <c r="T20" s="1" t="s">
        <v>41</v>
      </c>
      <c r="U20" s="1" t="s">
        <v>42</v>
      </c>
      <c r="V20" s="1" t="s">
        <v>43</v>
      </c>
      <c r="W20" s="5" t="s">
        <v>44</v>
      </c>
      <c r="X20" s="8" t="s">
        <v>64</v>
      </c>
      <c r="Y20" s="2"/>
      <c r="Z20" s="2"/>
    </row>
    <row r="21" spans="1:26" ht="33" customHeight="1" x14ac:dyDescent="0.25">
      <c r="A21" s="1" t="s">
        <v>45</v>
      </c>
      <c r="B21" s="1" t="s">
        <v>57</v>
      </c>
      <c r="C21" s="1" t="s">
        <v>47</v>
      </c>
      <c r="D21" s="1">
        <v>1678</v>
      </c>
      <c r="E21" s="1">
        <v>557.95000000000005</v>
      </c>
      <c r="F21" s="1">
        <v>936273.66</v>
      </c>
      <c r="G21" s="1">
        <v>502.12</v>
      </c>
      <c r="H21" s="1">
        <v>3.34</v>
      </c>
      <c r="I21" s="1">
        <v>79.25</v>
      </c>
      <c r="J21" s="1">
        <v>21.17</v>
      </c>
      <c r="K21" s="1">
        <v>44108.7</v>
      </c>
      <c r="L21" s="1">
        <v>280176.95</v>
      </c>
      <c r="M21" s="1">
        <v>17.39</v>
      </c>
      <c r="N21" s="1">
        <v>1.1200000000000001</v>
      </c>
      <c r="O21" s="1">
        <v>0.27</v>
      </c>
      <c r="P21" s="1">
        <v>75.760000000000005</v>
      </c>
      <c r="Q21" s="1">
        <v>44.4</v>
      </c>
      <c r="R21" s="1">
        <v>16.93</v>
      </c>
      <c r="S21" s="1">
        <v>19.260000000000002</v>
      </c>
      <c r="T21" s="1">
        <v>4.0999999999999996</v>
      </c>
      <c r="U21" s="1">
        <v>2.0699999999999998</v>
      </c>
      <c r="V21" s="1">
        <v>1.1299999999999999</v>
      </c>
      <c r="W21" s="5">
        <f>F21*100/F28</f>
        <v>31.757887929172714</v>
      </c>
      <c r="X21" s="7">
        <f t="shared" ref="X21:X27" si="2">H21/M21</f>
        <v>0.19206440483036227</v>
      </c>
      <c r="Y21" s="2"/>
      <c r="Z21" s="2"/>
    </row>
    <row r="22" spans="1:26" ht="43.5" customHeight="1" x14ac:dyDescent="0.25">
      <c r="A22" s="1" t="s">
        <v>48</v>
      </c>
      <c r="B22" s="1" t="s">
        <v>57</v>
      </c>
      <c r="C22" s="1" t="s">
        <v>47</v>
      </c>
      <c r="D22" s="1">
        <v>997.05</v>
      </c>
      <c r="E22" s="1">
        <v>698.28</v>
      </c>
      <c r="F22" s="1">
        <v>696215.16</v>
      </c>
      <c r="G22" s="1">
        <v>287.44</v>
      </c>
      <c r="H22" s="1">
        <v>3.47</v>
      </c>
      <c r="I22" s="1">
        <v>45.79</v>
      </c>
      <c r="J22" s="1">
        <v>21.77</v>
      </c>
      <c r="K22" s="1">
        <v>31896</v>
      </c>
      <c r="L22" s="1">
        <v>200716</v>
      </c>
      <c r="M22" s="1">
        <v>17.600000000000001</v>
      </c>
      <c r="N22" s="1">
        <v>2.81</v>
      </c>
      <c r="O22" s="1">
        <v>0.48</v>
      </c>
      <c r="P22" s="1">
        <v>82.8</v>
      </c>
      <c r="Q22" s="1">
        <v>45.8</v>
      </c>
      <c r="R22" s="1">
        <v>18.7</v>
      </c>
      <c r="S22" s="1">
        <v>18.34</v>
      </c>
      <c r="T22" s="1">
        <v>4.4800000000000004</v>
      </c>
      <c r="U22" s="1">
        <v>2.16</v>
      </c>
      <c r="V22" s="1">
        <v>0.8</v>
      </c>
      <c r="W22" s="5">
        <f>F22*100/F28</f>
        <v>23.615235556099112</v>
      </c>
      <c r="X22" s="7">
        <f t="shared" si="2"/>
        <v>0.19715909090909089</v>
      </c>
      <c r="Y22" s="2"/>
      <c r="Z22" s="2"/>
    </row>
    <row r="23" spans="1:26" ht="51" customHeight="1" x14ac:dyDescent="0.25">
      <c r="A23" s="1" t="s">
        <v>49</v>
      </c>
      <c r="B23" s="1" t="s">
        <v>57</v>
      </c>
      <c r="C23" s="1" t="s">
        <v>50</v>
      </c>
      <c r="D23" s="1">
        <v>586.35</v>
      </c>
      <c r="E23" s="1">
        <v>892.46</v>
      </c>
      <c r="F23" s="1">
        <v>523293.92</v>
      </c>
      <c r="G23" s="1">
        <v>342.41</v>
      </c>
      <c r="H23" s="1">
        <v>1.71</v>
      </c>
      <c r="I23" s="1">
        <v>56.29</v>
      </c>
      <c r="J23" s="1">
        <v>10.42</v>
      </c>
      <c r="K23" s="1">
        <v>50232</v>
      </c>
      <c r="L23" s="1">
        <v>305588</v>
      </c>
      <c r="M23" s="1">
        <v>19.43</v>
      </c>
      <c r="N23" s="1">
        <v>2.78</v>
      </c>
      <c r="O23" s="1">
        <v>0.67</v>
      </c>
      <c r="P23" s="1">
        <v>76.39</v>
      </c>
      <c r="Q23" s="1">
        <v>43.8</v>
      </c>
      <c r="R23" s="1">
        <v>15.99</v>
      </c>
      <c r="S23" s="1">
        <v>14.68</v>
      </c>
      <c r="T23" s="1">
        <v>3.37</v>
      </c>
      <c r="U23" s="1">
        <v>0.96</v>
      </c>
      <c r="V23" s="1">
        <v>1.93</v>
      </c>
      <c r="W23" s="5">
        <f>F23*100/F28</f>
        <v>17.749842140574021</v>
      </c>
      <c r="X23" s="7">
        <f t="shared" si="2"/>
        <v>8.8008234688625842E-2</v>
      </c>
      <c r="Y23" s="2"/>
      <c r="Z23" s="2"/>
    </row>
    <row r="24" spans="1:26" ht="35.25" customHeight="1" x14ac:dyDescent="0.25">
      <c r="A24" s="1" t="s">
        <v>51</v>
      </c>
      <c r="B24" s="1" t="s">
        <v>57</v>
      </c>
      <c r="C24" s="1" t="s">
        <v>47</v>
      </c>
      <c r="D24" s="1">
        <v>1876.85</v>
      </c>
      <c r="E24" s="1">
        <v>198.65</v>
      </c>
      <c r="F24" s="1">
        <v>372836.54</v>
      </c>
      <c r="G24" s="1">
        <v>417.61</v>
      </c>
      <c r="H24" s="1">
        <v>4.49</v>
      </c>
      <c r="I24" s="1">
        <v>54.89</v>
      </c>
      <c r="J24" s="1">
        <v>34.19</v>
      </c>
      <c r="K24" s="1">
        <v>10939</v>
      </c>
      <c r="L24" s="1">
        <v>83520</v>
      </c>
      <c r="M24" s="1">
        <v>14.02</v>
      </c>
      <c r="N24" s="1">
        <v>1.78</v>
      </c>
      <c r="O24" s="1">
        <v>0.37</v>
      </c>
      <c r="P24" s="1">
        <v>79.3</v>
      </c>
      <c r="Q24" s="1">
        <v>52.8</v>
      </c>
      <c r="R24" s="1">
        <v>17.920000000000002</v>
      </c>
      <c r="S24" s="1">
        <v>21.8</v>
      </c>
      <c r="T24" s="1">
        <v>5.33</v>
      </c>
      <c r="U24" s="1">
        <v>2.38</v>
      </c>
      <c r="V24" s="1">
        <v>0.08</v>
      </c>
      <c r="W24" s="5">
        <f>F24*100/F28</f>
        <v>12.646410509103204</v>
      </c>
      <c r="X24" s="7">
        <f t="shared" si="2"/>
        <v>0.32025677603423686</v>
      </c>
      <c r="Y24" s="2"/>
      <c r="Z24" s="2"/>
    </row>
    <row r="25" spans="1:26" ht="37.5" customHeight="1" x14ac:dyDescent="0.25">
      <c r="A25" s="1" t="s">
        <v>52</v>
      </c>
      <c r="B25" s="1" t="s">
        <v>57</v>
      </c>
      <c r="C25" s="1" t="s">
        <v>47</v>
      </c>
      <c r="D25" s="1">
        <v>860</v>
      </c>
      <c r="E25" s="1">
        <v>308.27999999999997</v>
      </c>
      <c r="F25" s="1">
        <v>265120.8</v>
      </c>
      <c r="G25" s="1">
        <v>405.51</v>
      </c>
      <c r="H25" s="1">
        <v>2.12</v>
      </c>
      <c r="I25" s="1">
        <v>34.200000000000003</v>
      </c>
      <c r="J25" s="1">
        <v>25.15</v>
      </c>
      <c r="K25" s="1">
        <v>9580</v>
      </c>
      <c r="L25" s="1">
        <v>125012</v>
      </c>
      <c r="M25" s="1">
        <v>8.09</v>
      </c>
      <c r="N25" s="1">
        <v>2.02</v>
      </c>
      <c r="O25" s="1">
        <v>0.39</v>
      </c>
      <c r="P25" s="1">
        <v>81</v>
      </c>
      <c r="Q25" s="1">
        <v>47.16</v>
      </c>
      <c r="R25" s="1">
        <v>19.38</v>
      </c>
      <c r="S25" s="1">
        <v>17.64</v>
      </c>
      <c r="T25" s="1">
        <v>4.0199999999999996</v>
      </c>
      <c r="U25" s="1">
        <v>1.82</v>
      </c>
      <c r="V25" s="1">
        <v>0.12</v>
      </c>
      <c r="W25" s="5">
        <f>F25*100/F28</f>
        <v>8.992751813708626</v>
      </c>
      <c r="X25" s="7">
        <f t="shared" si="2"/>
        <v>0.26205191594561189</v>
      </c>
      <c r="Y25" s="2"/>
      <c r="Z25" s="2"/>
    </row>
    <row r="26" spans="1:26" ht="35.25" customHeight="1" x14ac:dyDescent="0.25">
      <c r="A26" s="1" t="s">
        <v>53</v>
      </c>
      <c r="B26" s="1" t="s">
        <v>57</v>
      </c>
      <c r="C26" s="1" t="s">
        <v>50</v>
      </c>
      <c r="D26" s="1">
        <v>187.5</v>
      </c>
      <c r="E26" s="1">
        <v>518.5</v>
      </c>
      <c r="F26" s="1">
        <v>97218.75</v>
      </c>
      <c r="G26" s="1">
        <v>148.80000000000001</v>
      </c>
      <c r="H26" s="1">
        <v>1.26</v>
      </c>
      <c r="I26" s="1">
        <v>27.28</v>
      </c>
      <c r="J26" s="1">
        <v>6.87</v>
      </c>
      <c r="K26" s="1">
        <v>14109.62</v>
      </c>
      <c r="L26" s="1">
        <v>98222.89</v>
      </c>
      <c r="M26" s="1">
        <v>18.34</v>
      </c>
      <c r="N26" s="1">
        <v>3.79</v>
      </c>
      <c r="O26" s="1">
        <v>0.89</v>
      </c>
      <c r="P26" s="1">
        <v>92.43</v>
      </c>
      <c r="Q26" s="1">
        <v>42.24</v>
      </c>
      <c r="R26" s="1">
        <v>21.08</v>
      </c>
      <c r="S26" s="1">
        <v>16.239999999999998</v>
      </c>
      <c r="T26" s="1">
        <v>3.31</v>
      </c>
      <c r="U26" s="1">
        <v>1.03</v>
      </c>
      <c r="V26" s="1">
        <v>2.93</v>
      </c>
      <c r="W26" s="5">
        <f>F26*100/F28</f>
        <v>3.2976065642114292</v>
      </c>
      <c r="X26" s="7">
        <f t="shared" si="2"/>
        <v>6.8702290076335881E-2</v>
      </c>
      <c r="Y26" s="2"/>
      <c r="Z26" s="2"/>
    </row>
    <row r="27" spans="1:26" ht="39" customHeight="1" x14ac:dyDescent="0.25">
      <c r="A27" s="1" t="s">
        <v>54</v>
      </c>
      <c r="B27" s="1" t="s">
        <v>57</v>
      </c>
      <c r="C27" s="1" t="s">
        <v>50</v>
      </c>
      <c r="D27" s="1">
        <v>51.95</v>
      </c>
      <c r="E27" s="1">
        <v>1101.0999999999999</v>
      </c>
      <c r="F27" s="1">
        <v>57202.15</v>
      </c>
      <c r="G27" s="1">
        <v>90.69</v>
      </c>
      <c r="H27" s="1">
        <v>0.56999999999999995</v>
      </c>
      <c r="I27" s="1">
        <v>2.2799999999999998</v>
      </c>
      <c r="J27" s="1">
        <v>22.79</v>
      </c>
      <c r="K27" s="1">
        <v>2507.1999999999998</v>
      </c>
      <c r="L27" s="1">
        <v>99855.66</v>
      </c>
      <c r="M27" s="1">
        <v>3.94</v>
      </c>
      <c r="N27" s="1">
        <v>8.74</v>
      </c>
      <c r="O27" s="1">
        <v>2.72</v>
      </c>
      <c r="P27" s="1">
        <v>86.9</v>
      </c>
      <c r="Q27" s="1">
        <v>43</v>
      </c>
      <c r="R27" s="1">
        <v>14.1</v>
      </c>
      <c r="S27" s="1">
        <v>15.5</v>
      </c>
      <c r="T27" s="1">
        <v>3.06</v>
      </c>
      <c r="U27" s="1">
        <v>0.18</v>
      </c>
      <c r="V27" s="1">
        <v>1.25</v>
      </c>
      <c r="W27" s="5">
        <f>F27*100/F28</f>
        <v>1.9402654871308962</v>
      </c>
      <c r="X27" s="7">
        <f t="shared" si="2"/>
        <v>0.14467005076142131</v>
      </c>
      <c r="Y27" s="2"/>
      <c r="Z27" s="2"/>
    </row>
    <row r="28" spans="1:26" ht="26.25" customHeight="1" x14ac:dyDescent="0.25">
      <c r="A28" s="1" t="s">
        <v>55</v>
      </c>
      <c r="B28" s="1" t="s">
        <v>57</v>
      </c>
      <c r="C28" s="1"/>
      <c r="D28" s="1"/>
      <c r="E28" s="1"/>
      <c r="F28" s="1">
        <f>SUM(F21:F27)</f>
        <v>2948160.98</v>
      </c>
      <c r="G28" s="1"/>
      <c r="H28" s="1">
        <f>SUMPRODUCT(H21:H27, W21:W27)/100</f>
        <v>2.9947639575298912</v>
      </c>
      <c r="I28" s="1">
        <f>SUMPRODUCT(I21:I27, W21:W27)/100</f>
        <v>56.933889658494834</v>
      </c>
      <c r="J28" s="1">
        <f>SUMPRODUCT(J21:J27, W21:W27)/100</f>
        <v>20.967932115905015</v>
      </c>
      <c r="K28" s="1"/>
      <c r="L28" s="1"/>
      <c r="M28" s="1">
        <f>SUMPRODUCT(M21:M27, W21:W27)/100</f>
        <v>16.309540375844744</v>
      </c>
      <c r="N28" s="1">
        <f>SUMPRODUCT(N21:N27, W21:W27)/100</f>
        <v>2.2140402614988819</v>
      </c>
      <c r="O28" s="1">
        <f>SUMPRODUCT(O21:O27, W21:W27)/100</f>
        <v>0.48201074104847563</v>
      </c>
      <c r="P28" s="1">
        <f>SUMPRODUCT(P21:P27, W21:W27)/100</f>
        <v>79.219096305216013</v>
      </c>
      <c r="Q28" s="1">
        <f>SUMPRODUCT(Q21:Q27, W21:W27)/100</f>
        <v>45.836220659158172</v>
      </c>
      <c r="R28" s="1">
        <f>SUMPRODUCT(R21:R27, W21:W27)/100</f>
        <v>17.608604195826512</v>
      </c>
      <c r="S28" s="1">
        <f>SUMPRODUCT(S21:S27, W21:W27)/100</f>
        <v>18.232791609839431</v>
      </c>
      <c r="T28" s="1">
        <f>SUMPRODUCT(T21:T27, W21:W27)/100</f>
        <v>4.1622908423745564</v>
      </c>
      <c r="U28" s="1">
        <f>SUMPRODUCT(U21:U27, W21:W27)/100</f>
        <v>1.8399863313094937</v>
      </c>
      <c r="V28" s="1">
        <f>SUMPRODUCT(V21:V27, W21:W27)/100</f>
        <v>1.032139592865787</v>
      </c>
      <c r="W28" s="5">
        <f>SUM(W21:W27)</f>
        <v>100.00000000000001</v>
      </c>
      <c r="X28" s="7">
        <f>SUMPRODUCT(X21:X27, W21:W27)/100</f>
        <v>0.19231568420126688</v>
      </c>
      <c r="Y28" s="2"/>
      <c r="Z28" s="2"/>
    </row>
    <row r="29" spans="1:26" ht="26.25" customHeight="1" x14ac:dyDescent="0.25">
      <c r="A29" s="1" t="s">
        <v>22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28</v>
      </c>
      <c r="H29" s="1" t="s">
        <v>29</v>
      </c>
      <c r="I29" s="1" t="s">
        <v>30</v>
      </c>
      <c r="J29" s="1" t="s">
        <v>31</v>
      </c>
      <c r="K29" s="1" t="s">
        <v>32</v>
      </c>
      <c r="L29" s="1" t="s">
        <v>33</v>
      </c>
      <c r="M29" s="1" t="s">
        <v>34</v>
      </c>
      <c r="N29" s="1" t="s">
        <v>35</v>
      </c>
      <c r="O29" s="1" t="s">
        <v>36</v>
      </c>
      <c r="P29" s="1" t="s">
        <v>37</v>
      </c>
      <c r="Q29" s="1" t="s">
        <v>38</v>
      </c>
      <c r="R29" s="1" t="s">
        <v>39</v>
      </c>
      <c r="S29" s="1" t="s">
        <v>40</v>
      </c>
      <c r="T29" s="1" t="s">
        <v>41</v>
      </c>
      <c r="U29" s="1" t="s">
        <v>42</v>
      </c>
      <c r="V29" s="1" t="s">
        <v>43</v>
      </c>
      <c r="W29" s="5" t="s">
        <v>44</v>
      </c>
      <c r="X29" s="8" t="s">
        <v>64</v>
      </c>
      <c r="Y29" s="2"/>
      <c r="Z29" s="2"/>
    </row>
    <row r="30" spans="1:26" ht="26.25" customHeight="1" x14ac:dyDescent="0.25">
      <c r="A30" s="1" t="s">
        <v>45</v>
      </c>
      <c r="B30" s="1" t="s">
        <v>58</v>
      </c>
      <c r="C30" s="1" t="s">
        <v>47</v>
      </c>
      <c r="D30" s="1">
        <v>1614.4</v>
      </c>
      <c r="E30" s="1">
        <v>759.69</v>
      </c>
      <c r="F30" s="1">
        <v>1226443.54</v>
      </c>
      <c r="G30" s="1">
        <v>576.01</v>
      </c>
      <c r="H30" s="1">
        <v>2.8</v>
      </c>
      <c r="I30" s="1">
        <v>85.83</v>
      </c>
      <c r="J30" s="1">
        <v>18.809999999999999</v>
      </c>
      <c r="K30" s="1">
        <v>60812.28</v>
      </c>
      <c r="L30" s="1">
        <v>437593.09</v>
      </c>
      <c r="M30" s="1">
        <v>16.09</v>
      </c>
      <c r="N30" s="1">
        <v>1.24</v>
      </c>
      <c r="O30" s="1">
        <v>0.33</v>
      </c>
      <c r="P30" s="1">
        <v>74.040000000000006</v>
      </c>
      <c r="Q30" s="1">
        <v>38.200000000000003</v>
      </c>
      <c r="R30" s="1">
        <v>55.25</v>
      </c>
      <c r="S30" s="1">
        <v>18.8</v>
      </c>
      <c r="T30" s="1">
        <v>3.53</v>
      </c>
      <c r="U30" s="1">
        <v>1.98</v>
      </c>
      <c r="V30" s="1">
        <v>1.21</v>
      </c>
      <c r="W30" s="5">
        <f>F30*100/F37</f>
        <v>31.927240900940276</v>
      </c>
      <c r="X30" s="7">
        <f t="shared" ref="X30:X36" si="3">H30/M30</f>
        <v>0.17402113113735238</v>
      </c>
      <c r="Y30" s="2"/>
      <c r="Z30" s="2"/>
    </row>
    <row r="31" spans="1:26" ht="26.25" customHeight="1" x14ac:dyDescent="0.25">
      <c r="A31" s="1" t="s">
        <v>48</v>
      </c>
      <c r="B31" s="1" t="s">
        <v>58</v>
      </c>
      <c r="C31" s="1" t="s">
        <v>47</v>
      </c>
      <c r="D31" s="1">
        <v>1217</v>
      </c>
      <c r="E31" s="1">
        <v>702.8</v>
      </c>
      <c r="F31" s="1">
        <v>855307.6</v>
      </c>
      <c r="G31" s="1">
        <v>341.06</v>
      </c>
      <c r="H31" s="1">
        <v>3.57</v>
      </c>
      <c r="I31" s="1">
        <v>58.38</v>
      </c>
      <c r="J31" s="1">
        <v>20.85</v>
      </c>
      <c r="K31" s="1">
        <v>40882.69</v>
      </c>
      <c r="L31" s="1">
        <v>238399</v>
      </c>
      <c r="M31" s="1">
        <v>17.149999999999999</v>
      </c>
      <c r="N31" s="1">
        <v>2.16</v>
      </c>
      <c r="O31" s="1">
        <v>0.42</v>
      </c>
      <c r="P31" s="1">
        <v>80.3</v>
      </c>
      <c r="Q31" s="1">
        <v>38.9</v>
      </c>
      <c r="R31" s="1">
        <v>16.16</v>
      </c>
      <c r="S31" s="1">
        <v>16.329999999999998</v>
      </c>
      <c r="T31" s="1">
        <v>4.53</v>
      </c>
      <c r="U31" s="1">
        <v>2.1800000000000002</v>
      </c>
      <c r="V31" s="1">
        <v>0.82</v>
      </c>
      <c r="W31" s="5">
        <f>F31*100/F37</f>
        <v>22.265690102297793</v>
      </c>
      <c r="X31" s="7">
        <f t="shared" si="3"/>
        <v>0.20816326530612245</v>
      </c>
      <c r="Y31" s="2"/>
      <c r="Z31" s="2"/>
    </row>
    <row r="32" spans="1:26" ht="26.25" customHeight="1" x14ac:dyDescent="0.25">
      <c r="A32" s="1" t="s">
        <v>49</v>
      </c>
      <c r="B32" s="1" t="s">
        <v>58</v>
      </c>
      <c r="C32" s="1" t="s">
        <v>50</v>
      </c>
      <c r="D32" s="1">
        <v>818.75</v>
      </c>
      <c r="E32" s="1">
        <v>892.46</v>
      </c>
      <c r="F32" s="1">
        <v>730701.63</v>
      </c>
      <c r="G32" s="1">
        <v>421.98</v>
      </c>
      <c r="H32" s="1">
        <v>1.94</v>
      </c>
      <c r="I32" s="1">
        <v>68.44</v>
      </c>
      <c r="J32" s="1">
        <v>11.95</v>
      </c>
      <c r="K32" s="1">
        <v>61076.62</v>
      </c>
      <c r="L32" s="1">
        <v>377246.53</v>
      </c>
      <c r="M32" s="1">
        <v>20.32</v>
      </c>
      <c r="N32" s="1">
        <v>2.2400000000000002</v>
      </c>
      <c r="O32" s="1">
        <v>0.56999999999999995</v>
      </c>
      <c r="P32" s="1">
        <v>75.02</v>
      </c>
      <c r="Q32" s="1">
        <v>41.11</v>
      </c>
      <c r="R32" s="1">
        <v>15.78</v>
      </c>
      <c r="S32" s="1">
        <v>14.28</v>
      </c>
      <c r="T32" s="1">
        <v>3.28</v>
      </c>
      <c r="U32" s="1">
        <v>1.04</v>
      </c>
      <c r="V32" s="1">
        <v>1.67</v>
      </c>
      <c r="W32" s="5">
        <f>F32*100/F37</f>
        <v>19.02190048448519</v>
      </c>
      <c r="X32" s="7">
        <f t="shared" si="3"/>
        <v>9.5472440944881887E-2</v>
      </c>
      <c r="Y32" s="2"/>
      <c r="Z32" s="2"/>
    </row>
    <row r="33" spans="1:26" ht="26.25" customHeight="1" x14ac:dyDescent="0.25">
      <c r="A33" s="1" t="s">
        <v>51</v>
      </c>
      <c r="B33" s="1" t="s">
        <v>58</v>
      </c>
      <c r="C33" s="1" t="s">
        <v>47</v>
      </c>
      <c r="D33" s="1">
        <v>1784.75</v>
      </c>
      <c r="E33" s="1">
        <v>198.79</v>
      </c>
      <c r="F33" s="1">
        <v>354790.96</v>
      </c>
      <c r="G33" s="1">
        <v>486.13</v>
      </c>
      <c r="H33" s="1">
        <v>3.67</v>
      </c>
      <c r="I33" s="1">
        <v>69.33</v>
      </c>
      <c r="J33" s="1">
        <v>25.74</v>
      </c>
      <c r="K33" s="1">
        <v>13781.58</v>
      </c>
      <c r="L33" s="1">
        <v>96639.46</v>
      </c>
      <c r="M33" s="1">
        <v>15.29</v>
      </c>
      <c r="N33" s="1">
        <v>1.39</v>
      </c>
      <c r="O33" s="1">
        <v>0.34</v>
      </c>
      <c r="P33" s="1">
        <v>75.5</v>
      </c>
      <c r="Q33" s="1">
        <v>45.51</v>
      </c>
      <c r="R33" s="1">
        <v>17.57</v>
      </c>
      <c r="S33" s="1">
        <v>20.55</v>
      </c>
      <c r="T33" s="1">
        <v>5.32</v>
      </c>
      <c r="U33" s="1">
        <v>2.61</v>
      </c>
      <c r="V33" s="1">
        <v>0.11</v>
      </c>
      <c r="W33" s="5">
        <f>F33*100/F37</f>
        <v>9.2360521132475988</v>
      </c>
      <c r="X33" s="7">
        <f t="shared" si="3"/>
        <v>0.24002616088947026</v>
      </c>
      <c r="Y33" s="2"/>
      <c r="Z33" s="2"/>
    </row>
    <row r="34" spans="1:26" ht="26.25" customHeight="1" x14ac:dyDescent="0.25">
      <c r="A34" s="1" t="s">
        <v>52</v>
      </c>
      <c r="B34" s="1" t="s">
        <v>58</v>
      </c>
      <c r="C34" s="1" t="s">
        <v>47</v>
      </c>
      <c r="D34" s="1">
        <v>1291.5999999999999</v>
      </c>
      <c r="E34" s="1">
        <v>308.66000000000003</v>
      </c>
      <c r="F34" s="1">
        <v>398665.25</v>
      </c>
      <c r="G34" s="1">
        <v>487</v>
      </c>
      <c r="H34" s="1">
        <v>2.65</v>
      </c>
      <c r="I34" s="1">
        <v>80.67</v>
      </c>
      <c r="J34" s="1">
        <v>16.010000000000002</v>
      </c>
      <c r="K34" s="1">
        <v>24861</v>
      </c>
      <c r="L34" s="1">
        <v>150235</v>
      </c>
      <c r="M34" s="1">
        <v>18.86</v>
      </c>
      <c r="N34" s="1">
        <v>1.43</v>
      </c>
      <c r="O34" s="1">
        <v>0.31</v>
      </c>
      <c r="P34" s="1">
        <v>79</v>
      </c>
      <c r="Q34" s="1">
        <v>42.99</v>
      </c>
      <c r="R34" s="1">
        <v>14.17</v>
      </c>
      <c r="S34" s="1">
        <v>16.63</v>
      </c>
      <c r="T34" s="1">
        <v>4.07</v>
      </c>
      <c r="U34" s="1">
        <v>1.83</v>
      </c>
      <c r="V34" s="1">
        <v>0.08</v>
      </c>
      <c r="W34" s="5">
        <f>F34*100/F37</f>
        <v>10.378204181811403</v>
      </c>
      <c r="X34" s="7">
        <f t="shared" si="3"/>
        <v>0.14050901378579003</v>
      </c>
      <c r="Y34" s="2"/>
      <c r="Z34" s="2"/>
    </row>
    <row r="35" spans="1:26" ht="26.25" customHeight="1" x14ac:dyDescent="0.25">
      <c r="A35" s="1" t="s">
        <v>53</v>
      </c>
      <c r="B35" s="1" t="s">
        <v>58</v>
      </c>
      <c r="C35" s="1" t="s">
        <v>50</v>
      </c>
      <c r="D35" s="1">
        <v>275.35000000000002</v>
      </c>
      <c r="E35" s="1">
        <v>517.14</v>
      </c>
      <c r="F35" s="1">
        <v>142393.35999999999</v>
      </c>
      <c r="G35" s="1">
        <v>181.48</v>
      </c>
      <c r="H35" s="1">
        <v>1.52</v>
      </c>
      <c r="I35" s="1">
        <v>34.4</v>
      </c>
      <c r="J35" s="1">
        <v>8</v>
      </c>
      <c r="K35" s="1">
        <v>17788.78</v>
      </c>
      <c r="L35" s="1">
        <v>93850.76</v>
      </c>
      <c r="M35" s="1">
        <v>18.95</v>
      </c>
      <c r="N35" s="1">
        <v>2.92</v>
      </c>
      <c r="O35" s="1">
        <v>0.68</v>
      </c>
      <c r="P35" s="1">
        <v>93.3</v>
      </c>
      <c r="Q35" s="1">
        <v>41.33</v>
      </c>
      <c r="R35" s="1">
        <v>12.9</v>
      </c>
      <c r="S35" s="1">
        <v>16.309999999999999</v>
      </c>
      <c r="T35" s="1">
        <v>3.18</v>
      </c>
      <c r="U35" s="1">
        <v>1.17</v>
      </c>
      <c r="V35" s="1">
        <v>2.76</v>
      </c>
      <c r="W35" s="5">
        <f>F35*100/F37</f>
        <v>3.7068376644670598</v>
      </c>
      <c r="X35" s="7">
        <f t="shared" si="3"/>
        <v>8.0211081794195255E-2</v>
      </c>
      <c r="Y35" s="2"/>
      <c r="Z35" s="2"/>
    </row>
    <row r="36" spans="1:26" ht="26.25" customHeight="1" x14ac:dyDescent="0.25">
      <c r="A36" s="1" t="s">
        <v>54</v>
      </c>
      <c r="B36" s="1" t="s">
        <v>58</v>
      </c>
      <c r="C36" s="1" t="s">
        <v>50</v>
      </c>
      <c r="D36" s="1">
        <v>120.85</v>
      </c>
      <c r="E36" s="1">
        <v>1101.0999999999999</v>
      </c>
      <c r="F36" s="1">
        <v>133067.93</v>
      </c>
      <c r="G36" s="1">
        <v>100.25</v>
      </c>
      <c r="H36" s="1">
        <v>1.21</v>
      </c>
      <c r="I36" s="1">
        <v>7.49</v>
      </c>
      <c r="J36" s="1">
        <v>16.13</v>
      </c>
      <c r="K36" s="1">
        <v>8245</v>
      </c>
      <c r="L36" s="1">
        <v>110387.68</v>
      </c>
      <c r="M36" s="1">
        <v>11.66</v>
      </c>
      <c r="N36" s="1">
        <v>5.73</v>
      </c>
      <c r="O36" s="1">
        <v>0.73</v>
      </c>
      <c r="P36" s="1">
        <v>95.39</v>
      </c>
      <c r="Q36" s="1">
        <v>41.44</v>
      </c>
      <c r="R36" s="1">
        <v>11.21</v>
      </c>
      <c r="S36" s="1">
        <v>15.97</v>
      </c>
      <c r="T36" s="1">
        <v>3.23</v>
      </c>
      <c r="U36" s="1">
        <v>0.54</v>
      </c>
      <c r="V36" s="1">
        <v>1.24</v>
      </c>
      <c r="W36" s="5">
        <f>F36*100/F37</f>
        <v>3.4640745527506778</v>
      </c>
      <c r="X36" s="7">
        <f t="shared" si="3"/>
        <v>0.10377358490566037</v>
      </c>
      <c r="Y36" s="2"/>
      <c r="Z36" s="2"/>
    </row>
    <row r="37" spans="1:26" ht="26.25" customHeight="1" x14ac:dyDescent="0.25">
      <c r="A37" s="1" t="s">
        <v>55</v>
      </c>
      <c r="B37" s="1" t="s">
        <v>58</v>
      </c>
      <c r="C37" s="1"/>
      <c r="D37" s="1"/>
      <c r="E37" s="1"/>
      <c r="F37" s="1">
        <f>SUM(F30:F36)</f>
        <v>3841370.27</v>
      </c>
      <c r="G37" s="1"/>
      <c r="H37" s="1">
        <f>SUMPRODUCT(H30:H36, W30:W36)/100</f>
        <v>2.7701175092397432</v>
      </c>
      <c r="I37" s="1">
        <f>SUMPRODUCT(I30:I36, W30:W36)/100</f>
        <v>69.730513022739657</v>
      </c>
      <c r="J37" s="1">
        <f>SUMPRODUCT(J30:J36, W30:W36)/100</f>
        <v>17.81524004966592</v>
      </c>
      <c r="K37" s="1"/>
      <c r="L37" s="1"/>
      <c r="M37" s="1">
        <f>SUMPRODUCT(M30:M36, W30:W36)/100</f>
        <v>17.296787599025176</v>
      </c>
      <c r="N37" s="1">
        <f>SUMPRODUCT(N30:N36, W30:W36)/100</f>
        <v>1.8864478400828568</v>
      </c>
      <c r="O37" s="1">
        <f>SUMPRODUCT(O30:O36, W30:W36)/100</f>
        <v>0.42136987666643239</v>
      </c>
      <c r="P37" s="1">
        <f>SUMPRODUCT(P30:P36, W30:W36)/100</f>
        <v>77.723368964611694</v>
      </c>
      <c r="Q37" s="1">
        <f>SUMPRODUCT(Q30:Q36, W30:W36)/100</f>
        <v>40.309928559008711</v>
      </c>
      <c r="R37" s="1">
        <f>SUMPRODUCT(R30:R36, W30:W36)/100</f>
        <v>28.199462719692473</v>
      </c>
      <c r="S37" s="1">
        <f>SUMPRODUCT(S30:S36, W30:W36)/100</f>
        <v>17.136337866122961</v>
      </c>
      <c r="T37" s="1">
        <f>SUMPRODUCT(T30:T36, W30:W36)/100</f>
        <v>3.9031036297367923</v>
      </c>
      <c r="U37" s="1">
        <f>SUMPRODUCT(U30:U36, W30:W36)/100</f>
        <v>1.8084372790493846</v>
      </c>
      <c r="V37" s="1">
        <f>SUMPRODUCT(V30:V36, W30:W36)/100</f>
        <v>1.0502894764945427</v>
      </c>
      <c r="W37" s="5">
        <f>SUM(W30:W36)</f>
        <v>99.999999999999986</v>
      </c>
      <c r="X37" s="7">
        <f>SUMPRODUCT(X30:X36, W30:W36)/100</f>
        <v>0.16338914861122883</v>
      </c>
      <c r="Y37" s="2"/>
      <c r="Z37" s="2"/>
    </row>
    <row r="38" spans="1:26" ht="26.25" customHeight="1" x14ac:dyDescent="0.25">
      <c r="A38" s="1" t="s">
        <v>22</v>
      </c>
      <c r="B38" s="1" t="s">
        <v>23</v>
      </c>
      <c r="C38" s="1" t="s">
        <v>24</v>
      </c>
      <c r="D38" s="1" t="s">
        <v>25</v>
      </c>
      <c r="E38" s="1" t="s">
        <v>26</v>
      </c>
      <c r="F38" s="1" t="s">
        <v>27</v>
      </c>
      <c r="G38" s="1" t="s">
        <v>28</v>
      </c>
      <c r="H38" s="1" t="s">
        <v>29</v>
      </c>
      <c r="I38" s="1" t="s">
        <v>30</v>
      </c>
      <c r="J38" s="1" t="s">
        <v>31</v>
      </c>
      <c r="K38" s="1" t="s">
        <v>32</v>
      </c>
      <c r="L38" s="1" t="s">
        <v>33</v>
      </c>
      <c r="M38" s="1" t="s">
        <v>34</v>
      </c>
      <c r="N38" s="1" t="s">
        <v>35</v>
      </c>
      <c r="O38" s="1" t="s">
        <v>36</v>
      </c>
      <c r="P38" s="1" t="s">
        <v>37</v>
      </c>
      <c r="Q38" s="1" t="s">
        <v>38</v>
      </c>
      <c r="R38" s="1" t="s">
        <v>39</v>
      </c>
      <c r="S38" s="1" t="s">
        <v>40</v>
      </c>
      <c r="T38" s="1" t="s">
        <v>41</v>
      </c>
      <c r="U38" s="1" t="s">
        <v>42</v>
      </c>
      <c r="V38" s="1" t="s">
        <v>43</v>
      </c>
      <c r="W38" s="5" t="s">
        <v>44</v>
      </c>
      <c r="X38" s="8" t="s">
        <v>64</v>
      </c>
      <c r="Y38" s="2"/>
      <c r="Z38" s="2"/>
    </row>
    <row r="39" spans="1:26" ht="26.25" customHeight="1" x14ac:dyDescent="0.25">
      <c r="A39" s="1" t="s">
        <v>45</v>
      </c>
      <c r="B39" s="1" t="s">
        <v>59</v>
      </c>
      <c r="C39" s="1" t="s">
        <v>47</v>
      </c>
      <c r="D39" s="1">
        <v>1675</v>
      </c>
      <c r="E39" s="1">
        <v>765.22</v>
      </c>
      <c r="F39" s="1">
        <v>1281743.5</v>
      </c>
      <c r="G39" s="1">
        <v>675.87</v>
      </c>
      <c r="H39" s="1">
        <v>2.48</v>
      </c>
      <c r="I39" s="1">
        <v>88.3</v>
      </c>
      <c r="J39" s="1">
        <v>18.97</v>
      </c>
      <c r="K39" s="1">
        <v>67347.360000000001</v>
      </c>
      <c r="L39" s="1">
        <v>517218.98</v>
      </c>
      <c r="M39" s="1">
        <v>14.6</v>
      </c>
      <c r="N39" s="1">
        <v>1.33</v>
      </c>
      <c r="O39" s="1">
        <v>0.43</v>
      </c>
      <c r="P39" s="1">
        <v>67.86</v>
      </c>
      <c r="Q39" s="1">
        <v>38.200000000000003</v>
      </c>
      <c r="R39" s="1">
        <v>5.4</v>
      </c>
      <c r="S39" s="1">
        <v>19.600000000000001</v>
      </c>
      <c r="T39" s="1">
        <v>3.48</v>
      </c>
      <c r="U39" s="1">
        <v>1.91</v>
      </c>
      <c r="V39" s="1">
        <v>1.31</v>
      </c>
      <c r="W39" s="5">
        <f>F39*100/F46</f>
        <v>32.474874125178701</v>
      </c>
      <c r="X39" s="7">
        <f t="shared" ref="X39:X45" si="4">H39/M39</f>
        <v>0.16986301369863013</v>
      </c>
      <c r="Y39" s="2"/>
      <c r="Z39" s="2"/>
    </row>
    <row r="40" spans="1:26" ht="26.25" customHeight="1" x14ac:dyDescent="0.25">
      <c r="A40" s="1" t="s">
        <v>48</v>
      </c>
      <c r="B40" s="1" t="s">
        <v>59</v>
      </c>
      <c r="C40" s="1" t="s">
        <v>47</v>
      </c>
      <c r="D40" s="1">
        <v>1450</v>
      </c>
      <c r="E40" s="1">
        <v>704.75</v>
      </c>
      <c r="F40" s="1">
        <v>1021887.5</v>
      </c>
      <c r="G40" s="1">
        <v>410.11</v>
      </c>
      <c r="H40" s="1">
        <v>3.54</v>
      </c>
      <c r="I40" s="1">
        <v>67.010000000000005</v>
      </c>
      <c r="J40" s="1">
        <v>21.64</v>
      </c>
      <c r="K40" s="1">
        <v>47227</v>
      </c>
      <c r="L40" s="1">
        <v>292077</v>
      </c>
      <c r="M40" s="1">
        <v>17.95</v>
      </c>
      <c r="N40" s="1">
        <v>2.2999999999999998</v>
      </c>
      <c r="O40" s="1">
        <v>0.39</v>
      </c>
      <c r="P40" s="1">
        <v>76.2</v>
      </c>
      <c r="Q40" s="1">
        <v>40.6</v>
      </c>
      <c r="R40" s="1">
        <v>13.3</v>
      </c>
      <c r="S40" s="1">
        <v>16.55</v>
      </c>
      <c r="T40" s="1">
        <v>4.32</v>
      </c>
      <c r="U40" s="1">
        <v>2.4</v>
      </c>
      <c r="V40" s="1">
        <v>0.76</v>
      </c>
      <c r="W40" s="5">
        <f>F40/F46*100</f>
        <v>25.891036648591193</v>
      </c>
      <c r="X40" s="7">
        <f t="shared" si="4"/>
        <v>0.19721448467966574</v>
      </c>
      <c r="Y40" s="2"/>
      <c r="Z40" s="2"/>
    </row>
    <row r="41" spans="1:26" ht="26.25" customHeight="1" x14ac:dyDescent="0.25">
      <c r="A41" s="1" t="s">
        <v>49</v>
      </c>
      <c r="B41" s="1" t="s">
        <v>59</v>
      </c>
      <c r="C41" s="1" t="s">
        <v>50</v>
      </c>
      <c r="D41" s="1">
        <v>771.5</v>
      </c>
      <c r="E41" s="1">
        <v>892.46</v>
      </c>
      <c r="F41" s="1">
        <v>688532.89</v>
      </c>
      <c r="G41" s="1">
        <v>492.2</v>
      </c>
      <c r="H41" s="1">
        <v>1.57</v>
      </c>
      <c r="I41" s="1">
        <v>79.44</v>
      </c>
      <c r="J41" s="1">
        <v>9.7100000000000009</v>
      </c>
      <c r="K41" s="1">
        <v>70901</v>
      </c>
      <c r="L41" s="1">
        <v>439270</v>
      </c>
      <c r="M41" s="1">
        <v>19.87</v>
      </c>
      <c r="N41" s="1">
        <v>1.82</v>
      </c>
      <c r="O41" s="1">
        <v>0.47</v>
      </c>
      <c r="P41" s="1">
        <v>74.42</v>
      </c>
      <c r="Q41" s="1">
        <v>39.97</v>
      </c>
      <c r="R41" s="1">
        <v>12.03</v>
      </c>
      <c r="S41" s="1">
        <v>14.25</v>
      </c>
      <c r="T41" s="1">
        <v>3.09</v>
      </c>
      <c r="U41" s="1">
        <v>1.1000000000000001</v>
      </c>
      <c r="V41" s="1">
        <v>2.06</v>
      </c>
      <c r="W41" s="5">
        <f>F41/F46*100</f>
        <v>17.445002790180336</v>
      </c>
      <c r="X41" s="7">
        <f t="shared" si="4"/>
        <v>7.9013588324106696E-2</v>
      </c>
      <c r="Y41" s="2"/>
      <c r="Z41" s="2"/>
    </row>
    <row r="42" spans="1:26" ht="26.25" customHeight="1" x14ac:dyDescent="0.25">
      <c r="A42" s="1" t="s">
        <v>51</v>
      </c>
      <c r="B42" s="1" t="s">
        <v>59</v>
      </c>
      <c r="C42" s="1" t="s">
        <v>47</v>
      </c>
      <c r="D42" s="1">
        <v>1850.5</v>
      </c>
      <c r="E42" s="1">
        <v>198.82</v>
      </c>
      <c r="F42" s="1">
        <v>367916.41</v>
      </c>
      <c r="G42" s="1">
        <v>589.20000000000005</v>
      </c>
      <c r="H42" s="1">
        <v>3.14</v>
      </c>
      <c r="I42" s="1">
        <v>111.29</v>
      </c>
      <c r="J42" s="1">
        <v>16.63</v>
      </c>
      <c r="K42" s="1">
        <v>21946</v>
      </c>
      <c r="L42" s="1">
        <v>117146</v>
      </c>
      <c r="M42" s="1">
        <v>15.19</v>
      </c>
      <c r="N42" s="1">
        <v>1.42</v>
      </c>
      <c r="O42" s="1">
        <v>0.31</v>
      </c>
      <c r="P42" s="1">
        <v>80.38</v>
      </c>
      <c r="Q42" s="1">
        <v>43</v>
      </c>
      <c r="R42" s="1">
        <v>13.51</v>
      </c>
      <c r="S42" s="1">
        <v>22.25</v>
      </c>
      <c r="T42" s="1">
        <v>4.97</v>
      </c>
      <c r="U42" s="1">
        <v>2.73</v>
      </c>
      <c r="V42" s="1">
        <v>0.14000000000000001</v>
      </c>
      <c r="W42" s="5">
        <f>F42/F46*100</f>
        <v>9.3217083631300941</v>
      </c>
      <c r="X42" s="7">
        <f t="shared" si="4"/>
        <v>0.206714944042133</v>
      </c>
      <c r="Y42" s="2"/>
      <c r="Z42" s="2"/>
    </row>
    <row r="43" spans="1:26" ht="26.25" customHeight="1" x14ac:dyDescent="0.25">
      <c r="A43" s="1" t="s">
        <v>52</v>
      </c>
      <c r="B43" s="1" t="s">
        <v>59</v>
      </c>
      <c r="C43" s="1" t="s">
        <v>47</v>
      </c>
      <c r="D43" s="1">
        <v>1086</v>
      </c>
      <c r="E43" s="1">
        <v>309.74</v>
      </c>
      <c r="F43" s="1">
        <v>336377.64</v>
      </c>
      <c r="G43" s="1">
        <v>576.72</v>
      </c>
      <c r="H43" s="1">
        <v>1.88</v>
      </c>
      <c r="I43" s="1">
        <v>85.28</v>
      </c>
      <c r="J43" s="1">
        <v>12.73</v>
      </c>
      <c r="K43" s="1">
        <v>26373</v>
      </c>
      <c r="L43" s="1">
        <v>178633</v>
      </c>
      <c r="M43" s="1">
        <v>18.86</v>
      </c>
      <c r="N43" s="1">
        <v>1.28</v>
      </c>
      <c r="O43" s="1">
        <v>0.33</v>
      </c>
      <c r="P43" s="1">
        <v>75</v>
      </c>
      <c r="Q43" s="1">
        <v>40.770000000000003</v>
      </c>
      <c r="R43" s="1">
        <v>7.85</v>
      </c>
      <c r="S43" s="1">
        <v>17.07</v>
      </c>
      <c r="T43" s="1">
        <v>3.98</v>
      </c>
      <c r="U43" s="1">
        <v>1.74</v>
      </c>
      <c r="V43" s="1">
        <v>0.09</v>
      </c>
      <c r="W43" s="5">
        <f>F43/F46*100</f>
        <v>8.5226268106876883</v>
      </c>
      <c r="X43" s="7">
        <f t="shared" si="4"/>
        <v>9.9681866383881226E-2</v>
      </c>
      <c r="Y43" s="2"/>
      <c r="Z43" s="2"/>
    </row>
    <row r="44" spans="1:26" ht="26.25" customHeight="1" x14ac:dyDescent="0.25">
      <c r="A44" s="1" t="s">
        <v>53</v>
      </c>
      <c r="B44" s="1" t="s">
        <v>59</v>
      </c>
      <c r="C44" s="1" t="s">
        <v>50</v>
      </c>
      <c r="D44" s="1">
        <v>245.71</v>
      </c>
      <c r="E44" s="1">
        <v>517.14</v>
      </c>
      <c r="F44" s="1">
        <v>127066.47</v>
      </c>
      <c r="G44" s="1">
        <v>223.26</v>
      </c>
      <c r="H44" s="1">
        <v>1.1000000000000001</v>
      </c>
      <c r="I44" s="1">
        <v>37.86</v>
      </c>
      <c r="J44" s="1">
        <v>6.49</v>
      </c>
      <c r="K44" s="1">
        <v>19581</v>
      </c>
      <c r="L44" s="1">
        <v>115457.35</v>
      </c>
      <c r="M44" s="1">
        <v>16.96</v>
      </c>
      <c r="N44" s="1">
        <v>2.2599999999999998</v>
      </c>
      <c r="O44" s="1">
        <v>0.57999999999999996</v>
      </c>
      <c r="P44" s="1">
        <v>93.29</v>
      </c>
      <c r="Q44" s="1">
        <v>39.97</v>
      </c>
      <c r="R44" s="1">
        <v>12.8</v>
      </c>
      <c r="S44" s="1">
        <v>17.190000000000001</v>
      </c>
      <c r="T44" s="1">
        <v>3.02</v>
      </c>
      <c r="U44" s="1">
        <v>1.1599999999999999</v>
      </c>
      <c r="V44" s="1">
        <v>3.4</v>
      </c>
      <c r="W44" s="5">
        <f>F44/F46*100</f>
        <v>3.2194176282390319</v>
      </c>
      <c r="X44" s="7">
        <f t="shared" si="4"/>
        <v>6.4858490566037735E-2</v>
      </c>
      <c r="Y44" s="2"/>
      <c r="Z44" s="2"/>
    </row>
    <row r="45" spans="1:26" ht="26.25" customHeight="1" x14ac:dyDescent="0.25">
      <c r="A45" s="1" t="s">
        <v>54</v>
      </c>
      <c r="B45" s="1" t="s">
        <v>59</v>
      </c>
      <c r="C45" s="1" t="s">
        <v>50</v>
      </c>
      <c r="D45" s="1">
        <v>109.54</v>
      </c>
      <c r="E45" s="1">
        <v>1126.0999999999999</v>
      </c>
      <c r="F45" s="1">
        <v>123353.09</v>
      </c>
      <c r="G45" s="1">
        <v>113.09</v>
      </c>
      <c r="H45" s="1">
        <v>0.97</v>
      </c>
      <c r="I45" s="1">
        <v>14.77</v>
      </c>
      <c r="J45" s="1">
        <v>7.42</v>
      </c>
      <c r="K45" s="1">
        <v>16630.2</v>
      </c>
      <c r="L45" s="1">
        <v>127362.25</v>
      </c>
      <c r="M45" s="1">
        <v>14.07</v>
      </c>
      <c r="N45" s="1">
        <v>3.95</v>
      </c>
      <c r="O45" s="1">
        <v>0.4</v>
      </c>
      <c r="P45" s="1">
        <v>96.82</v>
      </c>
      <c r="Q45" s="1">
        <v>37.950000000000003</v>
      </c>
      <c r="R45" s="1">
        <v>13.14</v>
      </c>
      <c r="S45" s="1">
        <v>17.010000000000002</v>
      </c>
      <c r="T45" s="1">
        <v>3.08</v>
      </c>
      <c r="U45" s="1">
        <v>0.97</v>
      </c>
      <c r="V45" s="1">
        <v>2.65</v>
      </c>
      <c r="W45" s="5">
        <f>F45/F46*100</f>
        <v>3.1253336339929474</v>
      </c>
      <c r="X45" s="7">
        <f t="shared" si="4"/>
        <v>6.8941009239516696E-2</v>
      </c>
      <c r="Y45" s="2"/>
      <c r="Z45" s="2"/>
    </row>
    <row r="46" spans="1:26" ht="26.25" customHeight="1" x14ac:dyDescent="0.25">
      <c r="A46" s="1" t="s">
        <v>55</v>
      </c>
      <c r="B46" s="1" t="s">
        <v>59</v>
      </c>
      <c r="C46" s="1"/>
      <c r="D46" s="1"/>
      <c r="E46" s="1"/>
      <c r="F46" s="1">
        <f>SUM(F39:F45)</f>
        <v>3946877.5000000005</v>
      </c>
      <c r="G46" s="1"/>
      <c r="H46" s="1">
        <f>SUMPRODUCT(H39:H45, W39:W45)/100</f>
        <v>2.5144624762739651</v>
      </c>
      <c r="I46" s="1">
        <f>SUMPRODUCT(I39:I45, W39:W45)/100</f>
        <v>79.205916400546997</v>
      </c>
      <c r="J46" s="1">
        <f>SUMPRODUCT(J39:J45, W39:W45)/100</f>
        <v>16.533184176732114</v>
      </c>
      <c r="K46" s="1"/>
      <c r="L46" s="1"/>
      <c r="M46" s="1">
        <f>SUMPRODUCT(M39:M45, W39:W45)/100</f>
        <v>16.864177344014351</v>
      </c>
      <c r="N46" s="1">
        <f>SUMPRODUCT(N39:N45, W39:W45)/100</f>
        <v>1.7825761184379296</v>
      </c>
      <c r="O46" s="1">
        <f>SUMPRODUCT(O39:O45, W39:W45)/100</f>
        <v>0.41080443596235239</v>
      </c>
      <c r="P46" s="1">
        <f>SUMPRODUCT(P39:P45, W39:W45)/100</f>
        <v>74.663092604140857</v>
      </c>
      <c r="Q46" s="1">
        <f>SUMPRODUCT(Q39:Q45, W39:W45)/100</f>
        <v>39.845805297352143</v>
      </c>
      <c r="R46" s="1">
        <f>SUMPRODUCT(R39:R45, W39:W45)/100</f>
        <v>10.046928213100102</v>
      </c>
      <c r="S46" s="1">
        <f>SUMPRODUCT(S39:S45, W39:W45)/100</f>
        <v>17.749884440294892</v>
      </c>
      <c r="T46" s="1">
        <f>SUMPRODUCT(T39:T45, W39:W45)/100</f>
        <v>3.7836451300046678</v>
      </c>
      <c r="U46" s="1">
        <f>SUMPRODUCT(U39:U45, W39:W45)/100</f>
        <v>1.9039873316058071</v>
      </c>
      <c r="V46" s="1">
        <f>SUMPRODUCT(V39:V45, W39:W45)/100</f>
        <v>1.1945620835457902</v>
      </c>
      <c r="W46" s="5">
        <f>SUM(W39:W45)</f>
        <v>100</v>
      </c>
      <c r="X46" s="7">
        <f>SUMPRODUCT(X39:X45, W39:W45)/100</f>
        <v>0.15201517700088105</v>
      </c>
      <c r="Y46" s="2"/>
      <c r="Z46" s="2"/>
    </row>
    <row r="47" spans="1:26" ht="26.25" customHeight="1" x14ac:dyDescent="0.25">
      <c r="A47" s="1"/>
      <c r="B47" s="1"/>
      <c r="C47" s="1"/>
      <c r="D47" s="1"/>
      <c r="E47" s="1"/>
      <c r="F47" s="1"/>
      <c r="G47" s="1"/>
      <c r="H47" s="1">
        <f>MIN(H39:H45)</f>
        <v>0.97</v>
      </c>
      <c r="I47" s="1"/>
      <c r="J47" s="1"/>
      <c r="K47" s="1"/>
      <c r="L47" s="1"/>
      <c r="M47" s="1">
        <f>MIN(M39:M45)</f>
        <v>14.07</v>
      </c>
      <c r="N47" s="1"/>
      <c r="O47" s="1"/>
      <c r="P47" s="1"/>
      <c r="Q47" s="1"/>
      <c r="R47" s="1"/>
      <c r="S47" s="1"/>
      <c r="T47" s="1"/>
      <c r="U47" s="1"/>
      <c r="V47" s="1"/>
      <c r="W47" s="5"/>
      <c r="X47" s="7"/>
      <c r="Y47" s="2"/>
      <c r="Z47" s="2"/>
    </row>
    <row r="48" spans="1:26" ht="26.25" customHeight="1" x14ac:dyDescent="0.25">
      <c r="A48" s="1"/>
      <c r="B48" s="1"/>
      <c r="C48" s="1"/>
      <c r="D48" s="1"/>
      <c r="E48" s="1"/>
      <c r="F48" s="1"/>
      <c r="G48" s="1"/>
      <c r="H48" s="1">
        <f>MAX(H39:H45)</f>
        <v>3.54</v>
      </c>
      <c r="I48" s="1"/>
      <c r="J48" s="1"/>
      <c r="K48" s="1"/>
      <c r="L48" s="1"/>
      <c r="M48" s="1">
        <f>MAX(M39:M45)</f>
        <v>19.87</v>
      </c>
      <c r="N48" s="1"/>
      <c r="O48" s="1"/>
      <c r="P48" s="1"/>
      <c r="Q48" s="1"/>
      <c r="R48" s="1"/>
      <c r="S48" s="1"/>
      <c r="T48" s="1"/>
      <c r="U48" s="1"/>
      <c r="V48" s="1"/>
      <c r="W48" s="5"/>
      <c r="X48" s="7"/>
      <c r="Y48" s="2"/>
      <c r="Z48" s="2"/>
    </row>
    <row r="49" spans="1:26" ht="26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5"/>
      <c r="X49" s="7"/>
      <c r="Y49" s="2"/>
      <c r="Z49" s="2"/>
    </row>
    <row r="50" spans="1:26" ht="26.25" customHeight="1" x14ac:dyDescent="0.25">
      <c r="A50" s="1"/>
      <c r="B50" s="1"/>
      <c r="C50" s="1"/>
      <c r="D50" s="1"/>
      <c r="E50" s="1"/>
      <c r="F50" s="1" t="s">
        <v>69</v>
      </c>
      <c r="G50" s="1"/>
      <c r="H50" s="1"/>
      <c r="I50" s="1" t="s">
        <v>72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5"/>
      <c r="X50" s="7"/>
      <c r="Y50" s="2"/>
      <c r="Z50" s="2"/>
    </row>
    <row r="51" spans="1:26" ht="26.25" customHeight="1" x14ac:dyDescent="0.25">
      <c r="A51" s="1"/>
      <c r="B51" s="1"/>
      <c r="C51" s="1"/>
      <c r="D51" s="1"/>
      <c r="E51" s="1"/>
      <c r="F51" s="1" t="s">
        <v>70</v>
      </c>
      <c r="G51" s="1" t="s">
        <v>71</v>
      </c>
      <c r="H51" s="1"/>
      <c r="I51" s="1" t="s">
        <v>70</v>
      </c>
      <c r="J51" s="1" t="s">
        <v>71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5"/>
      <c r="X51" s="7"/>
      <c r="Y51" s="2"/>
      <c r="Z51" s="2"/>
    </row>
    <row r="52" spans="1:26" ht="36" customHeight="1" outlineLevel="1" x14ac:dyDescent="0.25">
      <c r="A52" s="1"/>
      <c r="B52" s="1"/>
      <c r="C52" s="1"/>
      <c r="D52" s="1"/>
      <c r="E52" s="1"/>
      <c r="F52" s="1">
        <v>2.5144624759999998</v>
      </c>
      <c r="G52" s="1">
        <v>14.07</v>
      </c>
      <c r="H52" s="1"/>
      <c r="I52" s="1">
        <v>0.97</v>
      </c>
      <c r="J52" s="1">
        <v>16.864177340000001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5"/>
      <c r="X52" s="7"/>
      <c r="Y52" s="2"/>
      <c r="Z52" s="2"/>
    </row>
    <row r="53" spans="1:26" ht="26.25" customHeight="1" x14ac:dyDescent="0.25">
      <c r="A53" s="1"/>
      <c r="B53" s="1"/>
      <c r="C53" s="1"/>
      <c r="D53" s="1"/>
      <c r="E53" s="1"/>
      <c r="F53" s="1">
        <v>2.5144624759999998</v>
      </c>
      <c r="G53" s="1">
        <v>18.87</v>
      </c>
      <c r="H53" s="1"/>
      <c r="I53" s="1">
        <v>3.54</v>
      </c>
      <c r="J53" s="1">
        <v>16.864177340000001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5"/>
      <c r="X53" s="7"/>
      <c r="Y53" s="2"/>
      <c r="Z53" s="2"/>
    </row>
    <row r="54" spans="1:26" ht="26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5"/>
      <c r="X54" s="7"/>
      <c r="Y54" s="2"/>
      <c r="Z54" s="2"/>
    </row>
    <row r="55" spans="1:26" ht="26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5"/>
      <c r="X55" s="7"/>
      <c r="Y55" s="2"/>
      <c r="Z55" s="2"/>
    </row>
    <row r="56" spans="1:26" ht="26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5"/>
      <c r="X56" s="7"/>
      <c r="Y56" s="2"/>
      <c r="Z56" s="2"/>
    </row>
    <row r="57" spans="1:26" ht="26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5"/>
      <c r="X57" s="7"/>
      <c r="Y57" s="2"/>
      <c r="Z57" s="2"/>
    </row>
    <row r="58" spans="1:26" ht="26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5"/>
      <c r="X58" s="7"/>
      <c r="Y58" s="2"/>
      <c r="Z58" s="2"/>
    </row>
    <row r="59" spans="1:26" ht="26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5"/>
      <c r="X59" s="7"/>
      <c r="Y59" s="2"/>
      <c r="Z59" s="2"/>
    </row>
    <row r="60" spans="1:26" ht="26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5"/>
      <c r="X60" s="7"/>
      <c r="Y60" s="2"/>
      <c r="Z60" s="2"/>
    </row>
    <row r="61" spans="1:26" ht="26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5"/>
      <c r="X61" s="7"/>
      <c r="Y61" s="2"/>
      <c r="Z61" s="2"/>
    </row>
    <row r="62" spans="1:26" ht="26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5"/>
      <c r="X62" s="7"/>
      <c r="Y62" s="2"/>
      <c r="Z62" s="2"/>
    </row>
    <row r="63" spans="1:26" ht="26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5"/>
      <c r="X63" s="7"/>
      <c r="Y63" s="2"/>
      <c r="Z63" s="2"/>
    </row>
    <row r="64" spans="1:26" ht="26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5"/>
      <c r="X64" s="7"/>
      <c r="Y64" s="2"/>
      <c r="Z64" s="2"/>
    </row>
    <row r="65" spans="1:26" ht="26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5"/>
      <c r="X65" s="7"/>
      <c r="Y65" s="2"/>
      <c r="Z65" s="2"/>
    </row>
    <row r="66" spans="1:26" ht="26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5"/>
      <c r="X66" s="7"/>
      <c r="Y66" s="2"/>
      <c r="Z66" s="2"/>
    </row>
    <row r="67" spans="1:26" ht="26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5"/>
      <c r="X67" s="7"/>
      <c r="Y67" s="2"/>
      <c r="Z67" s="2"/>
    </row>
    <row r="68" spans="1:26" ht="26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5"/>
      <c r="X68" s="7"/>
      <c r="Y68" s="2"/>
      <c r="Z68" s="2"/>
    </row>
    <row r="69" spans="1:26" ht="26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5"/>
      <c r="X69" s="7"/>
      <c r="Y69" s="2"/>
      <c r="Z69" s="2"/>
    </row>
    <row r="70" spans="1:26" ht="26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5"/>
      <c r="X70" s="7"/>
      <c r="Y70" s="2"/>
      <c r="Z70" s="2"/>
    </row>
    <row r="71" spans="1:26" ht="26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5"/>
      <c r="X71" s="7"/>
      <c r="Y71" s="2"/>
      <c r="Z71" s="2"/>
    </row>
    <row r="72" spans="1:26" ht="26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5"/>
      <c r="X72" s="7"/>
      <c r="Y72" s="2"/>
      <c r="Z72" s="2"/>
    </row>
    <row r="73" spans="1:26" ht="26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5"/>
      <c r="X73" s="7"/>
      <c r="Y73" s="2"/>
      <c r="Z73" s="2"/>
    </row>
    <row r="74" spans="1:26" ht="26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5"/>
      <c r="X74" s="7"/>
      <c r="Y74" s="2"/>
      <c r="Z74" s="2"/>
    </row>
    <row r="75" spans="1:26" ht="26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5"/>
      <c r="X75" s="7"/>
      <c r="Y75" s="2"/>
      <c r="Z75" s="2"/>
    </row>
    <row r="76" spans="1:26" ht="26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5"/>
      <c r="X76" s="7"/>
      <c r="Y76" s="2"/>
      <c r="Z76" s="2"/>
    </row>
    <row r="77" spans="1:26" ht="26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5"/>
      <c r="X77" s="7"/>
      <c r="Y77" s="2"/>
      <c r="Z77" s="2"/>
    </row>
    <row r="78" spans="1:26" ht="26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5"/>
      <c r="X78" s="7"/>
      <c r="Y78" s="2"/>
      <c r="Z78" s="2"/>
    </row>
    <row r="79" spans="1:26" ht="26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5"/>
      <c r="X79" s="7"/>
      <c r="Y79" s="2"/>
      <c r="Z79" s="2"/>
    </row>
    <row r="80" spans="1:26" ht="26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5"/>
      <c r="X80" s="7"/>
      <c r="Y80" s="2"/>
      <c r="Z80" s="2"/>
    </row>
    <row r="81" spans="1:26" ht="26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5"/>
      <c r="X81" s="7"/>
      <c r="Y81" s="2"/>
      <c r="Z81" s="2"/>
    </row>
    <row r="82" spans="1:26" ht="26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5"/>
      <c r="X82" s="7"/>
      <c r="Y82" s="2"/>
      <c r="Z82" s="2"/>
    </row>
    <row r="83" spans="1:26" ht="26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5"/>
      <c r="X83" s="7"/>
      <c r="Y83" s="2"/>
      <c r="Z83" s="2"/>
    </row>
    <row r="84" spans="1:26" ht="26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5"/>
      <c r="X84" s="7"/>
      <c r="Y84" s="2"/>
      <c r="Z84" s="2"/>
    </row>
    <row r="85" spans="1:26" ht="26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5"/>
      <c r="X85" s="7"/>
      <c r="Y85" s="2"/>
      <c r="Z85" s="2"/>
    </row>
    <row r="86" spans="1:26" ht="26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5"/>
      <c r="X86" s="7"/>
      <c r="Y86" s="2"/>
      <c r="Z86" s="2"/>
    </row>
    <row r="87" spans="1:26" ht="26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5"/>
      <c r="X87" s="7"/>
      <c r="Y87" s="2"/>
      <c r="Z87" s="2"/>
    </row>
    <row r="88" spans="1:26" ht="26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5"/>
      <c r="X88" s="7"/>
      <c r="Y88" s="2"/>
      <c r="Z88" s="2"/>
    </row>
    <row r="89" spans="1:26" ht="26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5"/>
      <c r="X89" s="7"/>
      <c r="Y89" s="2"/>
      <c r="Z89" s="2"/>
    </row>
    <row r="90" spans="1:26" ht="26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5"/>
      <c r="X90" s="7"/>
      <c r="Y90" s="2"/>
      <c r="Z90" s="2"/>
    </row>
    <row r="91" spans="1:26" ht="26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5"/>
      <c r="X91" s="7"/>
      <c r="Y91" s="2"/>
      <c r="Z91" s="2"/>
    </row>
    <row r="92" spans="1:26" ht="26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5"/>
      <c r="X92" s="7"/>
      <c r="Y92" s="2"/>
      <c r="Z92" s="2"/>
    </row>
    <row r="93" spans="1:26" ht="26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5"/>
      <c r="X93" s="7"/>
      <c r="Y93" s="2"/>
      <c r="Z93" s="2"/>
    </row>
    <row r="94" spans="1:26" ht="26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5"/>
      <c r="X94" s="7"/>
      <c r="Y94" s="2"/>
      <c r="Z94" s="2"/>
    </row>
    <row r="95" spans="1:26" ht="26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5"/>
      <c r="X95" s="7"/>
      <c r="Y95" s="2"/>
      <c r="Z95" s="2"/>
    </row>
    <row r="96" spans="1:26" ht="26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5"/>
      <c r="X96" s="7"/>
      <c r="Y96" s="2"/>
      <c r="Z96" s="2"/>
    </row>
    <row r="97" spans="1:26" ht="26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5"/>
      <c r="X97" s="7"/>
      <c r="Y97" s="2"/>
      <c r="Z97" s="2"/>
    </row>
    <row r="98" spans="1:26" ht="26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5"/>
      <c r="X98" s="7"/>
      <c r="Y98" s="2"/>
      <c r="Z98" s="2"/>
    </row>
    <row r="99" spans="1:26" ht="26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5"/>
      <c r="X99" s="7"/>
      <c r="Y99" s="2"/>
      <c r="Z99" s="2"/>
    </row>
    <row r="100" spans="1:26" ht="26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5"/>
      <c r="X100" s="7"/>
      <c r="Y100" s="2"/>
      <c r="Z100" s="2"/>
    </row>
    <row r="101" spans="1:26" ht="26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5"/>
      <c r="X101" s="7"/>
      <c r="Y101" s="2"/>
      <c r="Z101" s="2"/>
    </row>
    <row r="102" spans="1:26" ht="26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5"/>
      <c r="X102" s="7"/>
      <c r="Y102" s="2"/>
      <c r="Z102" s="2"/>
    </row>
    <row r="103" spans="1:26" ht="26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5"/>
      <c r="X103" s="7"/>
      <c r="Y103" s="2"/>
      <c r="Z103" s="2"/>
    </row>
    <row r="104" spans="1:26" ht="26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5"/>
      <c r="X104" s="7"/>
      <c r="Y104" s="2"/>
      <c r="Z104" s="2"/>
    </row>
    <row r="105" spans="1:26" ht="26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5"/>
      <c r="X105" s="7"/>
      <c r="Y105" s="2"/>
      <c r="Z105" s="2"/>
    </row>
    <row r="106" spans="1:26" ht="26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5"/>
      <c r="X106" s="7"/>
      <c r="Y106" s="2"/>
      <c r="Z106" s="2"/>
    </row>
    <row r="107" spans="1:26" ht="26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5"/>
      <c r="X107" s="7"/>
      <c r="Y107" s="2"/>
      <c r="Z107" s="2"/>
    </row>
    <row r="108" spans="1:26" ht="26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5"/>
      <c r="X108" s="7"/>
      <c r="Y108" s="2"/>
      <c r="Z108" s="2"/>
    </row>
    <row r="109" spans="1:26" ht="26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5"/>
      <c r="X109" s="7"/>
      <c r="Y109" s="2"/>
      <c r="Z109" s="2"/>
    </row>
    <row r="110" spans="1:26" ht="26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5"/>
      <c r="X110" s="7"/>
      <c r="Y110" s="2"/>
      <c r="Z110" s="2"/>
    </row>
    <row r="111" spans="1:26" ht="26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5"/>
      <c r="X111" s="7"/>
      <c r="Y111" s="2"/>
      <c r="Z111" s="2"/>
    </row>
    <row r="112" spans="1:26" ht="26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5"/>
      <c r="X112" s="7"/>
      <c r="Y112" s="2"/>
      <c r="Z112" s="2"/>
    </row>
    <row r="113" spans="1:26" ht="26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5"/>
      <c r="X113" s="7"/>
      <c r="Y113" s="2"/>
      <c r="Z113" s="2"/>
    </row>
    <row r="114" spans="1:26" ht="26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5"/>
      <c r="X114" s="7"/>
      <c r="Y114" s="2"/>
      <c r="Z114" s="2"/>
    </row>
    <row r="115" spans="1:26" ht="26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5"/>
      <c r="X115" s="7"/>
      <c r="Y115" s="2"/>
      <c r="Z115" s="2"/>
    </row>
    <row r="116" spans="1:26" ht="26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5"/>
      <c r="X116" s="7"/>
      <c r="Y116" s="2"/>
      <c r="Z116" s="2"/>
    </row>
    <row r="117" spans="1:26" ht="26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5"/>
      <c r="X117" s="7"/>
      <c r="Y117" s="2"/>
      <c r="Z117" s="2"/>
    </row>
    <row r="118" spans="1:26" ht="26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5"/>
      <c r="X118" s="7"/>
      <c r="Y118" s="2"/>
      <c r="Z118" s="2"/>
    </row>
    <row r="119" spans="1:26" ht="26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5"/>
      <c r="X119" s="7"/>
      <c r="Y119" s="2"/>
      <c r="Z119" s="2"/>
    </row>
    <row r="120" spans="1:26" ht="26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5"/>
      <c r="X120" s="7"/>
      <c r="Y120" s="2"/>
      <c r="Z120" s="2"/>
    </row>
    <row r="121" spans="1:26" ht="26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5"/>
      <c r="X121" s="7"/>
      <c r="Y121" s="2"/>
      <c r="Z121" s="2"/>
    </row>
    <row r="122" spans="1:26" ht="26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5"/>
      <c r="X122" s="7"/>
      <c r="Y122" s="2"/>
      <c r="Z122" s="2"/>
    </row>
    <row r="123" spans="1:26" ht="26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5"/>
      <c r="X123" s="7"/>
      <c r="Y123" s="2"/>
      <c r="Z123" s="2"/>
    </row>
    <row r="124" spans="1:26" ht="26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5"/>
      <c r="X124" s="7"/>
      <c r="Y124" s="2"/>
      <c r="Z124" s="2"/>
    </row>
    <row r="125" spans="1:26" ht="26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5"/>
      <c r="X125" s="7"/>
      <c r="Y125" s="2"/>
      <c r="Z125" s="2"/>
    </row>
    <row r="126" spans="1:26" ht="26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5"/>
      <c r="X126" s="7"/>
      <c r="Y126" s="2"/>
      <c r="Z126" s="2"/>
    </row>
    <row r="127" spans="1:26" ht="26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5"/>
      <c r="X127" s="7"/>
      <c r="Y127" s="2"/>
      <c r="Z127" s="2"/>
    </row>
    <row r="128" spans="1:26" ht="26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5"/>
      <c r="X128" s="7"/>
      <c r="Y128" s="2"/>
      <c r="Z128" s="2"/>
    </row>
    <row r="129" spans="1:26" ht="26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5"/>
      <c r="X129" s="7"/>
      <c r="Y129" s="2"/>
      <c r="Z129" s="2"/>
    </row>
    <row r="130" spans="1:26" ht="26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5"/>
      <c r="X130" s="7"/>
      <c r="Y130" s="2"/>
      <c r="Z130" s="2"/>
    </row>
    <row r="131" spans="1:26" ht="26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5"/>
      <c r="X131" s="7"/>
      <c r="Y131" s="2"/>
      <c r="Z131" s="2"/>
    </row>
    <row r="132" spans="1:26" ht="26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5"/>
      <c r="X132" s="7"/>
      <c r="Y132" s="2"/>
      <c r="Z132" s="2"/>
    </row>
    <row r="133" spans="1:26" ht="26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5"/>
      <c r="X133" s="7"/>
      <c r="Y133" s="2"/>
      <c r="Z133" s="2"/>
    </row>
    <row r="134" spans="1:26" ht="26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5"/>
      <c r="X134" s="7"/>
      <c r="Y134" s="2"/>
      <c r="Z134" s="2"/>
    </row>
    <row r="135" spans="1:26" ht="26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5"/>
      <c r="X135" s="7"/>
      <c r="Y135" s="2"/>
      <c r="Z135" s="2"/>
    </row>
    <row r="136" spans="1:26" ht="26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5"/>
      <c r="X136" s="7"/>
      <c r="Y136" s="2"/>
      <c r="Z136" s="2"/>
    </row>
    <row r="137" spans="1:26" ht="26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5"/>
      <c r="X137" s="7"/>
      <c r="Y137" s="2"/>
      <c r="Z137" s="2"/>
    </row>
    <row r="138" spans="1:26" ht="26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5"/>
      <c r="X138" s="7"/>
      <c r="Y138" s="2"/>
      <c r="Z138" s="2"/>
    </row>
    <row r="139" spans="1:26" ht="26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5"/>
      <c r="X139" s="7"/>
      <c r="Y139" s="2"/>
      <c r="Z139" s="2"/>
    </row>
    <row r="140" spans="1:26" ht="26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5"/>
      <c r="X140" s="7"/>
      <c r="Y140" s="2"/>
      <c r="Z140" s="2"/>
    </row>
    <row r="141" spans="1:26" ht="26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5"/>
      <c r="X141" s="7"/>
      <c r="Y141" s="2"/>
      <c r="Z141" s="2"/>
    </row>
    <row r="142" spans="1:26" ht="26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5"/>
      <c r="X142" s="7"/>
      <c r="Y142" s="2"/>
      <c r="Z142" s="2"/>
    </row>
    <row r="143" spans="1:26" ht="26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5"/>
      <c r="X143" s="7"/>
      <c r="Y143" s="2"/>
      <c r="Z143" s="2"/>
    </row>
    <row r="144" spans="1:26" ht="26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5"/>
      <c r="X144" s="7"/>
      <c r="Y144" s="2"/>
      <c r="Z144" s="2"/>
    </row>
    <row r="145" spans="1:26" ht="26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5"/>
      <c r="X145" s="7"/>
      <c r="Y145" s="2"/>
      <c r="Z145" s="2"/>
    </row>
    <row r="146" spans="1:26" ht="26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5"/>
      <c r="X146" s="7"/>
      <c r="Y146" s="2"/>
      <c r="Z146" s="2"/>
    </row>
    <row r="147" spans="1:26" ht="26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5"/>
      <c r="X147" s="7"/>
      <c r="Y147" s="2"/>
      <c r="Z147" s="2"/>
    </row>
    <row r="148" spans="1:26" ht="26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5"/>
      <c r="X148" s="7"/>
      <c r="Y148" s="2"/>
      <c r="Z148" s="2"/>
    </row>
    <row r="149" spans="1:26" ht="26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5"/>
      <c r="X149" s="7"/>
      <c r="Y149" s="2"/>
      <c r="Z149" s="2"/>
    </row>
    <row r="150" spans="1:26" ht="26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5"/>
      <c r="X150" s="7"/>
      <c r="Y150" s="2"/>
      <c r="Z150" s="2"/>
    </row>
    <row r="151" spans="1:26" ht="26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5"/>
      <c r="X151" s="7"/>
      <c r="Y151" s="2"/>
      <c r="Z151" s="2"/>
    </row>
    <row r="152" spans="1:26" ht="26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5"/>
      <c r="X152" s="7"/>
      <c r="Y152" s="2"/>
      <c r="Z152" s="2"/>
    </row>
    <row r="153" spans="1:26" ht="26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5"/>
      <c r="X153" s="7"/>
      <c r="Y153" s="2"/>
      <c r="Z153" s="2"/>
    </row>
    <row r="154" spans="1:26" ht="26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5"/>
      <c r="X154" s="7"/>
      <c r="Y154" s="2"/>
      <c r="Z154" s="2"/>
    </row>
    <row r="155" spans="1:26" ht="26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5"/>
      <c r="X155" s="7"/>
      <c r="Y155" s="2"/>
      <c r="Z155" s="2"/>
    </row>
    <row r="156" spans="1:26" ht="26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5"/>
      <c r="X156" s="7"/>
      <c r="Y156" s="2"/>
      <c r="Z156" s="2"/>
    </row>
    <row r="157" spans="1:26" ht="26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5"/>
      <c r="X157" s="7"/>
      <c r="Y157" s="2"/>
      <c r="Z157" s="2"/>
    </row>
    <row r="158" spans="1:26" ht="26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5"/>
      <c r="X158" s="7"/>
      <c r="Y158" s="2"/>
      <c r="Z158" s="2"/>
    </row>
    <row r="159" spans="1:26" ht="26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5"/>
      <c r="X159" s="7"/>
      <c r="Y159" s="2"/>
      <c r="Z159" s="2"/>
    </row>
    <row r="160" spans="1:26" ht="26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5"/>
      <c r="X160" s="7"/>
      <c r="Y160" s="2"/>
      <c r="Z160" s="2"/>
    </row>
    <row r="161" spans="1:26" ht="26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5"/>
      <c r="X161" s="7"/>
      <c r="Y161" s="2"/>
      <c r="Z161" s="2"/>
    </row>
    <row r="162" spans="1:26" ht="26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5"/>
      <c r="X162" s="7"/>
      <c r="Y162" s="2"/>
      <c r="Z162" s="2"/>
    </row>
    <row r="163" spans="1:26" ht="26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5"/>
      <c r="X163" s="7"/>
      <c r="Y163" s="2"/>
      <c r="Z163" s="2"/>
    </row>
    <row r="164" spans="1:26" ht="26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5"/>
      <c r="X164" s="7"/>
      <c r="Y164" s="2"/>
      <c r="Z164" s="2"/>
    </row>
    <row r="165" spans="1:26" ht="26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5"/>
      <c r="X165" s="7"/>
      <c r="Y165" s="2"/>
      <c r="Z165" s="2"/>
    </row>
    <row r="166" spans="1:26" ht="26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5"/>
      <c r="X166" s="7"/>
      <c r="Y166" s="2"/>
      <c r="Z166" s="2"/>
    </row>
    <row r="167" spans="1:26" ht="26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5"/>
      <c r="X167" s="7"/>
      <c r="Y167" s="2"/>
      <c r="Z167" s="2"/>
    </row>
    <row r="168" spans="1:26" ht="26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5"/>
      <c r="X168" s="7"/>
      <c r="Y168" s="2"/>
      <c r="Z168" s="2"/>
    </row>
    <row r="169" spans="1:26" ht="26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5"/>
      <c r="X169" s="7"/>
      <c r="Y169" s="2"/>
      <c r="Z169" s="2"/>
    </row>
    <row r="170" spans="1:26" ht="26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5"/>
      <c r="X170" s="7"/>
      <c r="Y170" s="2"/>
      <c r="Z170" s="2"/>
    </row>
    <row r="171" spans="1:26" ht="26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5"/>
      <c r="X171" s="7"/>
      <c r="Y171" s="2"/>
      <c r="Z171" s="2"/>
    </row>
    <row r="172" spans="1:26" ht="26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5"/>
      <c r="X172" s="7"/>
      <c r="Y172" s="2"/>
      <c r="Z172" s="2"/>
    </row>
    <row r="173" spans="1:26" ht="26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5"/>
      <c r="X173" s="7"/>
      <c r="Y173" s="2"/>
      <c r="Z173" s="2"/>
    </row>
    <row r="174" spans="1:26" ht="26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5"/>
      <c r="X174" s="7"/>
      <c r="Y174" s="2"/>
      <c r="Z174" s="2"/>
    </row>
    <row r="175" spans="1:26" ht="26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5"/>
      <c r="X175" s="7"/>
      <c r="Y175" s="2"/>
      <c r="Z175" s="2"/>
    </row>
    <row r="176" spans="1:26" ht="26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5"/>
      <c r="X176" s="7"/>
      <c r="Y176" s="2"/>
      <c r="Z176" s="2"/>
    </row>
    <row r="177" spans="1:26" ht="26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5"/>
      <c r="X177" s="7"/>
      <c r="Y177" s="2"/>
      <c r="Z177" s="2"/>
    </row>
    <row r="178" spans="1:26" ht="26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5"/>
      <c r="X178" s="7"/>
      <c r="Y178" s="2"/>
      <c r="Z178" s="2"/>
    </row>
    <row r="179" spans="1:26" ht="26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5"/>
      <c r="X179" s="7"/>
      <c r="Y179" s="2"/>
      <c r="Z179" s="2"/>
    </row>
    <row r="180" spans="1:26" ht="26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5"/>
      <c r="X180" s="7"/>
      <c r="Y180" s="2"/>
      <c r="Z180" s="2"/>
    </row>
    <row r="181" spans="1:26" ht="26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5"/>
      <c r="X181" s="7"/>
      <c r="Y181" s="2"/>
      <c r="Z181" s="2"/>
    </row>
    <row r="182" spans="1:26" ht="26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5"/>
      <c r="X182" s="7"/>
      <c r="Y182" s="2"/>
      <c r="Z182" s="2"/>
    </row>
    <row r="183" spans="1:26" ht="26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5"/>
      <c r="X183" s="7"/>
      <c r="Y183" s="2"/>
      <c r="Z183" s="2"/>
    </row>
    <row r="184" spans="1:26" ht="26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5"/>
      <c r="X184" s="7"/>
      <c r="Y184" s="2"/>
      <c r="Z184" s="2"/>
    </row>
    <row r="185" spans="1:26" ht="26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5"/>
      <c r="X185" s="7"/>
      <c r="Y185" s="2"/>
      <c r="Z185" s="2"/>
    </row>
    <row r="186" spans="1:26" ht="26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5"/>
      <c r="X186" s="7"/>
      <c r="Y186" s="2"/>
      <c r="Z186" s="2"/>
    </row>
    <row r="187" spans="1:26" ht="26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5"/>
      <c r="X187" s="7"/>
      <c r="Y187" s="2"/>
      <c r="Z187" s="2"/>
    </row>
    <row r="188" spans="1:26" ht="26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5"/>
      <c r="X188" s="7"/>
      <c r="Y188" s="2"/>
      <c r="Z188" s="2"/>
    </row>
    <row r="189" spans="1:26" ht="26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5"/>
      <c r="X189" s="7"/>
      <c r="Y189" s="2"/>
      <c r="Z189" s="2"/>
    </row>
    <row r="190" spans="1:26" ht="26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5"/>
      <c r="X190" s="7"/>
      <c r="Y190" s="2"/>
      <c r="Z190" s="2"/>
    </row>
    <row r="191" spans="1:26" ht="26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5"/>
      <c r="X191" s="7"/>
      <c r="Y191" s="2"/>
      <c r="Z191" s="2"/>
    </row>
    <row r="192" spans="1:26" ht="26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5"/>
      <c r="X192" s="7"/>
      <c r="Y192" s="2"/>
      <c r="Z192" s="2"/>
    </row>
    <row r="193" spans="1:26" ht="26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5"/>
      <c r="X193" s="7"/>
      <c r="Y193" s="2"/>
      <c r="Z193" s="2"/>
    </row>
    <row r="194" spans="1:26" ht="26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5"/>
      <c r="X194" s="7"/>
      <c r="Y194" s="2"/>
      <c r="Z194" s="2"/>
    </row>
    <row r="195" spans="1:26" ht="26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5"/>
      <c r="X195" s="7"/>
      <c r="Y195" s="2"/>
      <c r="Z195" s="2"/>
    </row>
    <row r="196" spans="1:26" ht="26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5"/>
      <c r="X196" s="7"/>
      <c r="Y196" s="2"/>
      <c r="Z196" s="2"/>
    </row>
    <row r="197" spans="1:26" ht="26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5"/>
      <c r="X197" s="7"/>
      <c r="Y197" s="2"/>
      <c r="Z197" s="2"/>
    </row>
    <row r="198" spans="1:26" ht="26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5"/>
      <c r="X198" s="7"/>
      <c r="Y198" s="2"/>
      <c r="Z198" s="2"/>
    </row>
    <row r="199" spans="1:26" ht="26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5"/>
      <c r="X199" s="7"/>
      <c r="Y199" s="2"/>
      <c r="Z199" s="2"/>
    </row>
    <row r="200" spans="1:26" ht="26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5"/>
      <c r="X200" s="7"/>
      <c r="Y200" s="2"/>
      <c r="Z200" s="2"/>
    </row>
    <row r="201" spans="1:26" ht="26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5"/>
      <c r="X201" s="7"/>
      <c r="Y201" s="2"/>
      <c r="Z201" s="2"/>
    </row>
    <row r="202" spans="1:26" ht="26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5"/>
      <c r="X202" s="7"/>
      <c r="Y202" s="2"/>
      <c r="Z202" s="2"/>
    </row>
    <row r="203" spans="1:26" ht="26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5"/>
      <c r="X203" s="7"/>
      <c r="Y203" s="2"/>
      <c r="Z203" s="2"/>
    </row>
    <row r="204" spans="1:26" ht="26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5"/>
      <c r="X204" s="7"/>
      <c r="Y204" s="2"/>
      <c r="Z204" s="2"/>
    </row>
    <row r="205" spans="1:26" ht="26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5"/>
      <c r="X205" s="7"/>
      <c r="Y205" s="2"/>
      <c r="Z205" s="2"/>
    </row>
    <row r="206" spans="1:26" ht="26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5"/>
      <c r="X206" s="7"/>
      <c r="Y206" s="2"/>
      <c r="Z206" s="2"/>
    </row>
    <row r="207" spans="1:26" ht="26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5"/>
      <c r="X207" s="7"/>
      <c r="Y207" s="2"/>
      <c r="Z207" s="2"/>
    </row>
    <row r="208" spans="1:26" ht="26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5"/>
      <c r="X208" s="7"/>
      <c r="Y208" s="2"/>
      <c r="Z208" s="2"/>
    </row>
    <row r="209" spans="1:26" ht="26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5"/>
      <c r="X209" s="7"/>
      <c r="Y209" s="2"/>
      <c r="Z209" s="2"/>
    </row>
    <row r="210" spans="1:26" ht="26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5"/>
      <c r="X210" s="7"/>
      <c r="Y210" s="2"/>
      <c r="Z210" s="2"/>
    </row>
    <row r="211" spans="1:26" ht="26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5"/>
      <c r="X211" s="7"/>
      <c r="Y211" s="2"/>
      <c r="Z211" s="2"/>
    </row>
    <row r="212" spans="1:26" ht="26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5"/>
      <c r="X212" s="7"/>
      <c r="Y212" s="2"/>
      <c r="Z212" s="2"/>
    </row>
    <row r="213" spans="1:26" ht="26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5"/>
      <c r="X213" s="7"/>
      <c r="Y213" s="2"/>
      <c r="Z213" s="2"/>
    </row>
    <row r="214" spans="1:26" ht="26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5"/>
      <c r="X214" s="7"/>
      <c r="Y214" s="2"/>
      <c r="Z214" s="2"/>
    </row>
    <row r="215" spans="1:26" ht="26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5"/>
      <c r="X215" s="7"/>
      <c r="Y215" s="2"/>
      <c r="Z215" s="2"/>
    </row>
    <row r="216" spans="1:26" ht="26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5"/>
      <c r="X216" s="7"/>
      <c r="Y216" s="2"/>
      <c r="Z216" s="2"/>
    </row>
    <row r="217" spans="1:26" ht="26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5"/>
      <c r="X217" s="7"/>
      <c r="Y217" s="2"/>
      <c r="Z217" s="2"/>
    </row>
    <row r="218" spans="1:26" ht="26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5"/>
      <c r="X218" s="7"/>
      <c r="Y218" s="2"/>
      <c r="Z218" s="2"/>
    </row>
    <row r="219" spans="1:26" ht="26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5"/>
      <c r="X219" s="7"/>
      <c r="Y219" s="2"/>
      <c r="Z219" s="2"/>
    </row>
    <row r="220" spans="1:26" ht="26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5"/>
      <c r="X220" s="7"/>
      <c r="Y220" s="2"/>
      <c r="Z220" s="2"/>
    </row>
    <row r="221" spans="1:26" ht="26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5"/>
      <c r="X221" s="7"/>
      <c r="Y221" s="2"/>
      <c r="Z221" s="2"/>
    </row>
    <row r="222" spans="1:26" ht="26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5"/>
      <c r="X222" s="7"/>
      <c r="Y222" s="2"/>
      <c r="Z222" s="2"/>
    </row>
    <row r="223" spans="1:26" ht="26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5"/>
      <c r="X223" s="7"/>
      <c r="Y223" s="2"/>
      <c r="Z223" s="2"/>
    </row>
    <row r="224" spans="1:26" ht="26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5"/>
      <c r="X224" s="7"/>
      <c r="Y224" s="2"/>
      <c r="Z224" s="2"/>
    </row>
    <row r="225" spans="1:26" ht="26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5"/>
      <c r="X225" s="7"/>
      <c r="Y225" s="2"/>
      <c r="Z225" s="2"/>
    </row>
    <row r="226" spans="1:26" ht="26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5"/>
      <c r="X226" s="7"/>
      <c r="Y226" s="2"/>
      <c r="Z226" s="2"/>
    </row>
    <row r="227" spans="1:26" ht="26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5"/>
      <c r="X227" s="7"/>
      <c r="Y227" s="2"/>
      <c r="Z227" s="2"/>
    </row>
    <row r="228" spans="1:26" ht="26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5"/>
      <c r="X228" s="7"/>
      <c r="Y228" s="2"/>
      <c r="Z228" s="2"/>
    </row>
    <row r="229" spans="1:26" ht="26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5"/>
      <c r="X229" s="7"/>
      <c r="Y229" s="2"/>
      <c r="Z229" s="2"/>
    </row>
    <row r="230" spans="1:26" ht="26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5"/>
      <c r="X230" s="7"/>
      <c r="Y230" s="2"/>
      <c r="Z230" s="2"/>
    </row>
    <row r="231" spans="1:26" ht="26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5"/>
      <c r="X231" s="7"/>
      <c r="Y231" s="2"/>
      <c r="Z231" s="2"/>
    </row>
    <row r="232" spans="1:26" ht="26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5"/>
      <c r="X232" s="7"/>
      <c r="Y232" s="2"/>
      <c r="Z232" s="2"/>
    </row>
    <row r="233" spans="1:26" ht="26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5"/>
      <c r="X233" s="7"/>
      <c r="Y233" s="2"/>
      <c r="Z233" s="2"/>
    </row>
    <row r="234" spans="1:26" ht="26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5"/>
      <c r="X234" s="7"/>
      <c r="Y234" s="2"/>
      <c r="Z234" s="2"/>
    </row>
    <row r="235" spans="1:26" ht="26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5"/>
      <c r="X235" s="7"/>
      <c r="Y235" s="2"/>
      <c r="Z235" s="2"/>
    </row>
    <row r="236" spans="1:26" ht="26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5"/>
      <c r="X236" s="7"/>
      <c r="Y236" s="2"/>
      <c r="Z236" s="2"/>
    </row>
    <row r="237" spans="1:26" ht="26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5"/>
      <c r="X237" s="7"/>
      <c r="Y237" s="2"/>
      <c r="Z237" s="2"/>
    </row>
    <row r="238" spans="1:26" ht="26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5"/>
      <c r="X238" s="7"/>
      <c r="Y238" s="2"/>
      <c r="Z238" s="2"/>
    </row>
    <row r="239" spans="1:26" ht="26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5"/>
      <c r="X239" s="7"/>
      <c r="Y239" s="2"/>
      <c r="Z239" s="2"/>
    </row>
    <row r="240" spans="1:26" ht="26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5"/>
      <c r="X240" s="7"/>
      <c r="Y240" s="2"/>
      <c r="Z240" s="2"/>
    </row>
    <row r="241" spans="1:26" ht="26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5"/>
      <c r="X241" s="7"/>
      <c r="Y241" s="2"/>
      <c r="Z241" s="2"/>
    </row>
    <row r="242" spans="1:26" ht="26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5"/>
      <c r="X242" s="7"/>
      <c r="Y242" s="2"/>
      <c r="Z242" s="2"/>
    </row>
    <row r="243" spans="1:26" ht="26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5"/>
      <c r="X243" s="7"/>
      <c r="Y243" s="2"/>
      <c r="Z243" s="2"/>
    </row>
    <row r="244" spans="1:26" ht="26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5"/>
      <c r="X244" s="7"/>
      <c r="Y244" s="2"/>
      <c r="Z244" s="2"/>
    </row>
    <row r="245" spans="1:26" ht="26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5"/>
      <c r="X245" s="7"/>
      <c r="Y245" s="2"/>
      <c r="Z245" s="2"/>
    </row>
    <row r="246" spans="1:26" ht="26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5"/>
      <c r="X246" s="7"/>
      <c r="Y246" s="2"/>
      <c r="Z246" s="2"/>
    </row>
    <row r="247" spans="1:26" ht="26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5"/>
      <c r="X247" s="7"/>
      <c r="Y247" s="2"/>
      <c r="Z247" s="2"/>
    </row>
    <row r="248" spans="1:26" ht="26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5"/>
      <c r="X248" s="7"/>
      <c r="Y248" s="2"/>
      <c r="Z248" s="2"/>
    </row>
    <row r="249" spans="1:26" ht="26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5"/>
      <c r="X249" s="7"/>
      <c r="Y249" s="2"/>
      <c r="Z249" s="2"/>
    </row>
    <row r="250" spans="1:26" ht="26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5"/>
      <c r="X250" s="7"/>
      <c r="Y250" s="2"/>
      <c r="Z250" s="2"/>
    </row>
    <row r="251" spans="1:26" ht="26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5"/>
      <c r="X251" s="7"/>
      <c r="Y251" s="2"/>
      <c r="Z251" s="2"/>
    </row>
    <row r="252" spans="1:26" ht="26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5"/>
      <c r="X252" s="7"/>
      <c r="Y252" s="2"/>
      <c r="Z252" s="2"/>
    </row>
    <row r="253" spans="1:26" ht="26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5"/>
      <c r="X253" s="7"/>
      <c r="Y253" s="2"/>
      <c r="Z253" s="2"/>
    </row>
    <row r="254" spans="1:26" ht="26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5"/>
      <c r="X254" s="7"/>
      <c r="Y254" s="2"/>
      <c r="Z254" s="2"/>
    </row>
    <row r="255" spans="1:26" ht="26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5"/>
      <c r="X255" s="7"/>
      <c r="Y255" s="2"/>
      <c r="Z255" s="2"/>
    </row>
    <row r="256" spans="1:26" ht="26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5"/>
      <c r="X256" s="7"/>
      <c r="Y256" s="2"/>
      <c r="Z256" s="2"/>
    </row>
    <row r="257" spans="1:26" ht="26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5"/>
      <c r="X257" s="7"/>
      <c r="Y257" s="2"/>
      <c r="Z257" s="2"/>
    </row>
    <row r="258" spans="1:26" ht="26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5"/>
      <c r="X258" s="7"/>
      <c r="Y258" s="2"/>
      <c r="Z258" s="2"/>
    </row>
    <row r="259" spans="1:26" ht="26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5"/>
      <c r="X259" s="7"/>
      <c r="Y259" s="2"/>
      <c r="Z259" s="2"/>
    </row>
    <row r="260" spans="1:26" ht="26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5"/>
      <c r="X260" s="7"/>
      <c r="Y260" s="2"/>
      <c r="Z260" s="2"/>
    </row>
    <row r="261" spans="1:26" ht="26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5"/>
      <c r="X261" s="7"/>
      <c r="Y261" s="2"/>
      <c r="Z261" s="2"/>
    </row>
    <row r="262" spans="1:26" ht="26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5"/>
      <c r="X262" s="7"/>
      <c r="Y262" s="2"/>
      <c r="Z262" s="2"/>
    </row>
    <row r="263" spans="1:26" ht="26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5"/>
      <c r="X263" s="7"/>
      <c r="Y263" s="2"/>
      <c r="Z263" s="2"/>
    </row>
    <row r="264" spans="1:26" ht="26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5"/>
      <c r="X264" s="7"/>
      <c r="Y264" s="2"/>
      <c r="Z264" s="2"/>
    </row>
    <row r="265" spans="1:26" ht="26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5"/>
      <c r="X265" s="7"/>
      <c r="Y265" s="2"/>
      <c r="Z265" s="2"/>
    </row>
    <row r="266" spans="1:26" ht="26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5"/>
      <c r="X266" s="7"/>
      <c r="Y266" s="2"/>
      <c r="Z266" s="2"/>
    </row>
    <row r="267" spans="1:26" ht="26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5"/>
      <c r="X267" s="7"/>
      <c r="Y267" s="2"/>
      <c r="Z267" s="2"/>
    </row>
    <row r="268" spans="1:26" ht="26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5"/>
      <c r="X268" s="7"/>
      <c r="Y268" s="2"/>
      <c r="Z268" s="2"/>
    </row>
    <row r="269" spans="1:26" ht="26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5"/>
      <c r="X269" s="7"/>
      <c r="Y269" s="2"/>
      <c r="Z269" s="2"/>
    </row>
    <row r="270" spans="1:26" ht="26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5"/>
      <c r="X270" s="7"/>
      <c r="Y270" s="2"/>
      <c r="Z270" s="2"/>
    </row>
    <row r="271" spans="1:26" ht="26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5"/>
      <c r="X271" s="7"/>
      <c r="Y271" s="2"/>
      <c r="Z271" s="2"/>
    </row>
    <row r="272" spans="1:26" ht="26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5"/>
      <c r="X272" s="7"/>
      <c r="Y272" s="2"/>
      <c r="Z272" s="2"/>
    </row>
    <row r="273" spans="1:26" ht="26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5"/>
      <c r="X273" s="7"/>
      <c r="Y273" s="2"/>
      <c r="Z273" s="2"/>
    </row>
    <row r="274" spans="1:26" ht="26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5"/>
      <c r="X274" s="7"/>
      <c r="Y274" s="2"/>
      <c r="Z274" s="2"/>
    </row>
    <row r="275" spans="1:26" ht="26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5"/>
      <c r="X275" s="7"/>
      <c r="Y275" s="2"/>
      <c r="Z275" s="2"/>
    </row>
    <row r="276" spans="1:26" ht="26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5"/>
      <c r="X276" s="7"/>
      <c r="Y276" s="2"/>
      <c r="Z276" s="2"/>
    </row>
    <row r="277" spans="1:26" ht="26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5"/>
      <c r="X277" s="7"/>
      <c r="Y277" s="2"/>
      <c r="Z277" s="2"/>
    </row>
    <row r="278" spans="1:26" ht="26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5"/>
      <c r="X278" s="7"/>
      <c r="Y278" s="2"/>
      <c r="Z278" s="2"/>
    </row>
    <row r="279" spans="1:26" ht="26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5"/>
      <c r="X279" s="7"/>
      <c r="Y279" s="2"/>
      <c r="Z279" s="2"/>
    </row>
    <row r="280" spans="1:26" ht="26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5"/>
      <c r="X280" s="7"/>
      <c r="Y280" s="2"/>
      <c r="Z280" s="2"/>
    </row>
    <row r="281" spans="1:26" ht="26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5"/>
      <c r="X281" s="7"/>
      <c r="Y281" s="2"/>
      <c r="Z281" s="2"/>
    </row>
    <row r="282" spans="1:26" ht="26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5"/>
      <c r="X282" s="7"/>
      <c r="Y282" s="2"/>
      <c r="Z282" s="2"/>
    </row>
    <row r="283" spans="1:26" ht="26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5"/>
      <c r="X283" s="7"/>
      <c r="Y283" s="2"/>
      <c r="Z283" s="2"/>
    </row>
    <row r="284" spans="1:26" ht="26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5"/>
      <c r="X284" s="7"/>
      <c r="Y284" s="2"/>
      <c r="Z284" s="2"/>
    </row>
    <row r="285" spans="1:26" ht="26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5"/>
      <c r="X285" s="7"/>
      <c r="Y285" s="2"/>
      <c r="Z285" s="2"/>
    </row>
    <row r="286" spans="1:26" ht="26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5"/>
      <c r="X286" s="7"/>
      <c r="Y286" s="2"/>
      <c r="Z286" s="2"/>
    </row>
    <row r="287" spans="1:26" ht="26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5"/>
      <c r="X287" s="7"/>
      <c r="Y287" s="2"/>
      <c r="Z287" s="2"/>
    </row>
    <row r="288" spans="1:26" ht="26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5"/>
      <c r="X288" s="7"/>
      <c r="Y288" s="2"/>
      <c r="Z288" s="2"/>
    </row>
    <row r="289" spans="1:26" ht="26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5"/>
      <c r="X289" s="7"/>
      <c r="Y289" s="2"/>
      <c r="Z289" s="2"/>
    </row>
    <row r="290" spans="1:26" ht="26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5"/>
      <c r="X290" s="7"/>
      <c r="Y290" s="2"/>
      <c r="Z290" s="2"/>
    </row>
    <row r="291" spans="1:26" ht="26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5"/>
      <c r="X291" s="7"/>
      <c r="Y291" s="2"/>
      <c r="Z291" s="2"/>
    </row>
    <row r="292" spans="1:26" ht="26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5"/>
      <c r="X292" s="7"/>
      <c r="Y292" s="2"/>
      <c r="Z292" s="2"/>
    </row>
    <row r="293" spans="1:26" ht="26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5"/>
      <c r="X293" s="7"/>
      <c r="Y293" s="2"/>
      <c r="Z293" s="2"/>
    </row>
    <row r="294" spans="1:26" ht="26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5"/>
      <c r="X294" s="7"/>
      <c r="Y294" s="2"/>
      <c r="Z294" s="2"/>
    </row>
    <row r="295" spans="1:26" ht="26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5"/>
      <c r="X295" s="7"/>
      <c r="Y295" s="2"/>
      <c r="Z295" s="2"/>
    </row>
    <row r="296" spans="1:26" ht="26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5"/>
      <c r="X296" s="7"/>
      <c r="Y296" s="2"/>
      <c r="Z296" s="2"/>
    </row>
    <row r="297" spans="1:26" ht="26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5"/>
      <c r="X297" s="7"/>
      <c r="Y297" s="2"/>
      <c r="Z297" s="2"/>
    </row>
    <row r="298" spans="1:26" ht="26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5"/>
      <c r="X298" s="7"/>
      <c r="Y298" s="2"/>
      <c r="Z298" s="2"/>
    </row>
    <row r="299" spans="1:26" ht="26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5"/>
      <c r="X299" s="7"/>
      <c r="Y299" s="2"/>
      <c r="Z299" s="2"/>
    </row>
    <row r="300" spans="1:26" ht="26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5"/>
      <c r="X300" s="7"/>
      <c r="Y300" s="2"/>
      <c r="Z300" s="2"/>
    </row>
    <row r="301" spans="1:26" ht="26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5"/>
      <c r="X301" s="7"/>
      <c r="Y301" s="2"/>
      <c r="Z301" s="2"/>
    </row>
    <row r="302" spans="1:26" ht="26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5"/>
      <c r="X302" s="7"/>
      <c r="Y302" s="2"/>
      <c r="Z302" s="2"/>
    </row>
    <row r="303" spans="1:26" ht="26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5"/>
      <c r="X303" s="7"/>
      <c r="Y303" s="2"/>
      <c r="Z303" s="2"/>
    </row>
    <row r="304" spans="1:26" ht="26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5"/>
      <c r="X304" s="7"/>
      <c r="Y304" s="2"/>
      <c r="Z304" s="2"/>
    </row>
    <row r="305" spans="1:26" ht="26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5"/>
      <c r="X305" s="7"/>
      <c r="Y305" s="2"/>
      <c r="Z305" s="2"/>
    </row>
    <row r="306" spans="1:26" ht="26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5"/>
      <c r="X306" s="7"/>
      <c r="Y306" s="2"/>
      <c r="Z306" s="2"/>
    </row>
    <row r="307" spans="1:26" ht="26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5"/>
      <c r="X307" s="7"/>
      <c r="Y307" s="2"/>
      <c r="Z307" s="2"/>
    </row>
    <row r="308" spans="1:26" ht="26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5"/>
      <c r="X308" s="7"/>
      <c r="Y308" s="2"/>
      <c r="Z308" s="2"/>
    </row>
    <row r="309" spans="1:26" ht="26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5"/>
      <c r="X309" s="7"/>
      <c r="Y309" s="2"/>
      <c r="Z309" s="2"/>
    </row>
    <row r="310" spans="1:26" ht="26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5"/>
      <c r="X310" s="7"/>
      <c r="Y310" s="2"/>
      <c r="Z310" s="2"/>
    </row>
    <row r="311" spans="1:26" ht="26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5"/>
      <c r="X311" s="7"/>
      <c r="Y311" s="2"/>
      <c r="Z311" s="2"/>
    </row>
    <row r="312" spans="1:26" ht="26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5"/>
      <c r="X312" s="7"/>
      <c r="Y312" s="2"/>
      <c r="Z312" s="2"/>
    </row>
    <row r="313" spans="1:26" ht="26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5"/>
      <c r="X313" s="7"/>
      <c r="Y313" s="2"/>
      <c r="Z313" s="2"/>
    </row>
    <row r="314" spans="1:26" ht="26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5"/>
      <c r="X314" s="7"/>
      <c r="Y314" s="2"/>
      <c r="Z314" s="2"/>
    </row>
    <row r="315" spans="1:26" ht="26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5"/>
      <c r="X315" s="7"/>
      <c r="Y315" s="2"/>
      <c r="Z315" s="2"/>
    </row>
    <row r="316" spans="1:26" ht="26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5"/>
      <c r="X316" s="7"/>
      <c r="Y316" s="2"/>
      <c r="Z316" s="2"/>
    </row>
    <row r="317" spans="1:26" ht="26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5"/>
      <c r="X317" s="7"/>
      <c r="Y317" s="2"/>
      <c r="Z317" s="2"/>
    </row>
    <row r="318" spans="1:26" ht="26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5"/>
      <c r="X318" s="7"/>
      <c r="Y318" s="2"/>
      <c r="Z318" s="2"/>
    </row>
    <row r="319" spans="1:26" ht="26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5"/>
      <c r="X319" s="7"/>
      <c r="Y319" s="2"/>
      <c r="Z319" s="2"/>
    </row>
    <row r="320" spans="1:26" ht="26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5"/>
      <c r="X320" s="7"/>
      <c r="Y320" s="2"/>
      <c r="Z320" s="2"/>
    </row>
    <row r="321" spans="1:26" ht="26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5"/>
      <c r="X321" s="7"/>
      <c r="Y321" s="2"/>
      <c r="Z321" s="2"/>
    </row>
    <row r="322" spans="1:26" ht="26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5"/>
      <c r="X322" s="7"/>
      <c r="Y322" s="2"/>
      <c r="Z322" s="2"/>
    </row>
    <row r="323" spans="1:26" ht="26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5"/>
      <c r="X323" s="7"/>
      <c r="Y323" s="2"/>
      <c r="Z323" s="2"/>
    </row>
    <row r="324" spans="1:26" ht="26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5"/>
      <c r="X324" s="7"/>
      <c r="Y324" s="2"/>
      <c r="Z324" s="2"/>
    </row>
    <row r="325" spans="1:26" ht="26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5"/>
      <c r="X325" s="7"/>
      <c r="Y325" s="2"/>
      <c r="Z325" s="2"/>
    </row>
    <row r="326" spans="1:26" ht="26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5"/>
      <c r="X326" s="7"/>
      <c r="Y326" s="2"/>
      <c r="Z326" s="2"/>
    </row>
    <row r="327" spans="1:26" ht="26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5"/>
      <c r="X327" s="7"/>
      <c r="Y327" s="2"/>
      <c r="Z327" s="2"/>
    </row>
    <row r="328" spans="1:26" ht="26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5"/>
      <c r="X328" s="7"/>
      <c r="Y328" s="2"/>
      <c r="Z328" s="2"/>
    </row>
    <row r="329" spans="1:26" ht="26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5"/>
      <c r="X329" s="7"/>
      <c r="Y329" s="2"/>
      <c r="Z329" s="2"/>
    </row>
    <row r="330" spans="1:26" ht="26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5"/>
      <c r="X330" s="7"/>
      <c r="Y330" s="2"/>
      <c r="Z330" s="2"/>
    </row>
    <row r="331" spans="1:26" ht="26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5"/>
      <c r="X331" s="7"/>
      <c r="Y331" s="2"/>
      <c r="Z331" s="2"/>
    </row>
    <row r="332" spans="1:26" ht="26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5"/>
      <c r="X332" s="7"/>
      <c r="Y332" s="2"/>
      <c r="Z332" s="2"/>
    </row>
    <row r="333" spans="1:26" ht="26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5"/>
      <c r="X333" s="7"/>
      <c r="Y333" s="2"/>
      <c r="Z333" s="2"/>
    </row>
    <row r="334" spans="1:26" ht="26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5"/>
      <c r="X334" s="7"/>
      <c r="Y334" s="2"/>
      <c r="Z334" s="2"/>
    </row>
    <row r="335" spans="1:26" ht="26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5"/>
      <c r="X335" s="7"/>
      <c r="Y335" s="2"/>
      <c r="Z335" s="2"/>
    </row>
    <row r="336" spans="1:26" ht="26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5"/>
      <c r="X336" s="7"/>
      <c r="Y336" s="2"/>
      <c r="Z336" s="2"/>
    </row>
    <row r="337" spans="1:26" ht="26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5"/>
      <c r="X337" s="7"/>
      <c r="Y337" s="2"/>
      <c r="Z337" s="2"/>
    </row>
    <row r="338" spans="1:26" ht="26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5"/>
      <c r="X338" s="7"/>
      <c r="Y338" s="2"/>
      <c r="Z338" s="2"/>
    </row>
    <row r="339" spans="1:26" ht="26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5"/>
      <c r="X339" s="7"/>
      <c r="Y339" s="2"/>
      <c r="Z339" s="2"/>
    </row>
    <row r="340" spans="1:26" ht="26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5"/>
      <c r="X340" s="7"/>
      <c r="Y340" s="2"/>
      <c r="Z340" s="2"/>
    </row>
    <row r="341" spans="1:26" ht="26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5"/>
      <c r="X341" s="7"/>
      <c r="Y341" s="2"/>
      <c r="Z341" s="2"/>
    </row>
    <row r="342" spans="1:26" ht="26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5"/>
      <c r="X342" s="7"/>
      <c r="Y342" s="2"/>
      <c r="Z342" s="2"/>
    </row>
    <row r="343" spans="1:26" ht="26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5"/>
      <c r="X343" s="7"/>
      <c r="Y343" s="2"/>
      <c r="Z343" s="2"/>
    </row>
    <row r="344" spans="1:26" ht="26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5"/>
      <c r="X344" s="7"/>
      <c r="Y344" s="2"/>
      <c r="Z344" s="2"/>
    </row>
    <row r="345" spans="1:26" ht="26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5"/>
      <c r="X345" s="7"/>
      <c r="Y345" s="2"/>
      <c r="Z345" s="2"/>
    </row>
    <row r="346" spans="1:26" ht="26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5"/>
      <c r="X346" s="7"/>
      <c r="Y346" s="2"/>
      <c r="Z346" s="2"/>
    </row>
    <row r="347" spans="1:26" ht="26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5"/>
      <c r="X347" s="7"/>
      <c r="Y347" s="2"/>
      <c r="Z347" s="2"/>
    </row>
    <row r="348" spans="1:26" ht="26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5"/>
      <c r="X348" s="7"/>
      <c r="Y348" s="2"/>
      <c r="Z348" s="2"/>
    </row>
    <row r="349" spans="1:26" ht="26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5"/>
      <c r="X349" s="7"/>
      <c r="Y349" s="2"/>
      <c r="Z349" s="2"/>
    </row>
    <row r="350" spans="1:26" ht="26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5"/>
      <c r="X350" s="7"/>
      <c r="Y350" s="2"/>
      <c r="Z350" s="2"/>
    </row>
    <row r="351" spans="1:26" ht="26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5"/>
      <c r="X351" s="7"/>
      <c r="Y351" s="2"/>
      <c r="Z351" s="2"/>
    </row>
    <row r="352" spans="1:26" ht="26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5"/>
      <c r="X352" s="7"/>
      <c r="Y352" s="2"/>
      <c r="Z352" s="2"/>
    </row>
    <row r="353" spans="1:26" ht="26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5"/>
      <c r="X353" s="7"/>
      <c r="Y353" s="2"/>
      <c r="Z353" s="2"/>
    </row>
    <row r="354" spans="1:26" ht="26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5"/>
      <c r="X354" s="7"/>
      <c r="Y354" s="2"/>
      <c r="Z354" s="2"/>
    </row>
    <row r="355" spans="1:26" ht="26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5"/>
      <c r="X355" s="7"/>
      <c r="Y355" s="2"/>
      <c r="Z355" s="2"/>
    </row>
    <row r="356" spans="1:26" ht="26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5"/>
      <c r="X356" s="7"/>
      <c r="Y356" s="2"/>
      <c r="Z356" s="2"/>
    </row>
    <row r="357" spans="1:26" ht="26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5"/>
      <c r="X357" s="7"/>
      <c r="Y357" s="2"/>
      <c r="Z357" s="2"/>
    </row>
    <row r="358" spans="1:26" ht="26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5"/>
      <c r="X358" s="7"/>
      <c r="Y358" s="2"/>
      <c r="Z358" s="2"/>
    </row>
    <row r="359" spans="1:26" ht="26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5"/>
      <c r="X359" s="7"/>
      <c r="Y359" s="2"/>
      <c r="Z359" s="2"/>
    </row>
    <row r="360" spans="1:26" ht="26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5"/>
      <c r="X360" s="7"/>
      <c r="Y360" s="2"/>
      <c r="Z360" s="2"/>
    </row>
    <row r="361" spans="1:26" ht="26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5"/>
      <c r="X361" s="7"/>
      <c r="Y361" s="2"/>
      <c r="Z361" s="2"/>
    </row>
    <row r="362" spans="1:26" ht="26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5"/>
      <c r="X362" s="7"/>
      <c r="Y362" s="2"/>
      <c r="Z362" s="2"/>
    </row>
    <row r="363" spans="1:26" ht="26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5"/>
      <c r="X363" s="7"/>
      <c r="Y363" s="2"/>
      <c r="Z363" s="2"/>
    </row>
    <row r="364" spans="1:26" ht="26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5"/>
      <c r="X364" s="7"/>
      <c r="Y364" s="2"/>
      <c r="Z364" s="2"/>
    </row>
    <row r="365" spans="1:26" ht="26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5"/>
      <c r="X365" s="7"/>
      <c r="Y365" s="2"/>
      <c r="Z365" s="2"/>
    </row>
    <row r="366" spans="1:26" ht="26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5"/>
      <c r="X366" s="7"/>
      <c r="Y366" s="2"/>
      <c r="Z366" s="2"/>
    </row>
    <row r="367" spans="1:26" ht="26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5"/>
      <c r="X367" s="7"/>
      <c r="Y367" s="2"/>
      <c r="Z367" s="2"/>
    </row>
    <row r="368" spans="1:26" ht="26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5"/>
      <c r="X368" s="7"/>
      <c r="Y368" s="2"/>
      <c r="Z368" s="2"/>
    </row>
    <row r="369" spans="1:26" ht="26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5"/>
      <c r="X369" s="7"/>
      <c r="Y369" s="2"/>
      <c r="Z369" s="2"/>
    </row>
    <row r="370" spans="1:26" ht="26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5"/>
      <c r="X370" s="7"/>
      <c r="Y370" s="2"/>
      <c r="Z370" s="2"/>
    </row>
    <row r="371" spans="1:26" ht="26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5"/>
      <c r="X371" s="7"/>
      <c r="Y371" s="2"/>
      <c r="Z371" s="2"/>
    </row>
    <row r="372" spans="1:26" ht="26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5"/>
      <c r="X372" s="7"/>
      <c r="Y372" s="2"/>
      <c r="Z372" s="2"/>
    </row>
    <row r="373" spans="1:26" ht="26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5"/>
      <c r="X373" s="7"/>
      <c r="Y373" s="2"/>
      <c r="Z373" s="2"/>
    </row>
    <row r="374" spans="1:26" ht="26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5"/>
      <c r="X374" s="7"/>
      <c r="Y374" s="2"/>
      <c r="Z374" s="2"/>
    </row>
    <row r="375" spans="1:26" ht="26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5"/>
      <c r="X375" s="7"/>
      <c r="Y375" s="2"/>
      <c r="Z375" s="2"/>
    </row>
    <row r="376" spans="1:26" ht="26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5"/>
      <c r="X376" s="7"/>
      <c r="Y376" s="2"/>
      <c r="Z376" s="2"/>
    </row>
    <row r="377" spans="1:26" ht="26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5"/>
      <c r="X377" s="7"/>
      <c r="Y377" s="2"/>
      <c r="Z377" s="2"/>
    </row>
    <row r="378" spans="1:26" ht="26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5"/>
      <c r="X378" s="7"/>
      <c r="Y378" s="2"/>
      <c r="Z378" s="2"/>
    </row>
    <row r="379" spans="1:26" ht="26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5"/>
      <c r="X379" s="7"/>
      <c r="Y379" s="2"/>
      <c r="Z379" s="2"/>
    </row>
    <row r="380" spans="1:26" ht="26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5"/>
      <c r="X380" s="7"/>
      <c r="Y380" s="2"/>
      <c r="Z380" s="2"/>
    </row>
    <row r="381" spans="1:26" ht="26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5"/>
      <c r="X381" s="7"/>
      <c r="Y381" s="2"/>
      <c r="Z381" s="2"/>
    </row>
    <row r="382" spans="1:26" ht="26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5"/>
      <c r="X382" s="7"/>
      <c r="Y382" s="2"/>
      <c r="Z382" s="2"/>
    </row>
    <row r="383" spans="1:26" ht="26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5"/>
      <c r="X383" s="7"/>
      <c r="Y383" s="2"/>
      <c r="Z383" s="2"/>
    </row>
    <row r="384" spans="1:26" ht="26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5"/>
      <c r="X384" s="7"/>
      <c r="Y384" s="2"/>
      <c r="Z384" s="2"/>
    </row>
    <row r="385" spans="1:26" ht="26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5"/>
      <c r="X385" s="7"/>
      <c r="Y385" s="2"/>
      <c r="Z385" s="2"/>
    </row>
    <row r="386" spans="1:26" ht="26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5"/>
      <c r="X386" s="7"/>
      <c r="Y386" s="2"/>
      <c r="Z386" s="2"/>
    </row>
    <row r="387" spans="1:26" ht="26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5"/>
      <c r="X387" s="7"/>
      <c r="Y387" s="2"/>
      <c r="Z387" s="2"/>
    </row>
    <row r="388" spans="1:26" ht="26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5"/>
      <c r="X388" s="7"/>
      <c r="Y388" s="2"/>
      <c r="Z388" s="2"/>
    </row>
    <row r="389" spans="1:26" ht="26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5"/>
      <c r="X389" s="7"/>
      <c r="Y389" s="2"/>
      <c r="Z389" s="2"/>
    </row>
    <row r="390" spans="1:26" ht="26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5"/>
      <c r="X390" s="7"/>
      <c r="Y390" s="2"/>
      <c r="Z390" s="2"/>
    </row>
    <row r="391" spans="1:26" ht="26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5"/>
      <c r="X391" s="7"/>
      <c r="Y391" s="2"/>
      <c r="Z391" s="2"/>
    </row>
    <row r="392" spans="1:26" ht="26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5"/>
      <c r="X392" s="7"/>
      <c r="Y392" s="2"/>
      <c r="Z392" s="2"/>
    </row>
    <row r="393" spans="1:26" ht="26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5"/>
      <c r="X393" s="7"/>
      <c r="Y393" s="2"/>
      <c r="Z393" s="2"/>
    </row>
    <row r="394" spans="1:26" ht="26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5"/>
      <c r="X394" s="7"/>
      <c r="Y394" s="2"/>
      <c r="Z394" s="2"/>
    </row>
    <row r="395" spans="1:26" ht="26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5"/>
      <c r="X395" s="7"/>
      <c r="Y395" s="2"/>
      <c r="Z395" s="2"/>
    </row>
    <row r="396" spans="1:26" ht="26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5"/>
      <c r="X396" s="7"/>
      <c r="Y396" s="2"/>
      <c r="Z396" s="2"/>
    </row>
    <row r="397" spans="1:26" ht="26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5"/>
      <c r="X397" s="7"/>
      <c r="Y397" s="2"/>
      <c r="Z397" s="2"/>
    </row>
    <row r="398" spans="1:26" ht="26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5"/>
      <c r="X398" s="7"/>
      <c r="Y398" s="2"/>
      <c r="Z398" s="2"/>
    </row>
    <row r="399" spans="1:26" ht="26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5"/>
      <c r="X399" s="7"/>
      <c r="Y399" s="2"/>
      <c r="Z399" s="2"/>
    </row>
    <row r="400" spans="1:26" ht="26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5"/>
      <c r="X400" s="7"/>
      <c r="Y400" s="2"/>
      <c r="Z400" s="2"/>
    </row>
    <row r="401" spans="1:26" ht="26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5"/>
      <c r="X401" s="7"/>
      <c r="Y401" s="2"/>
      <c r="Z401" s="2"/>
    </row>
    <row r="402" spans="1:26" ht="26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5"/>
      <c r="X402" s="7"/>
      <c r="Y402" s="2"/>
      <c r="Z402" s="2"/>
    </row>
    <row r="403" spans="1:26" ht="26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5"/>
      <c r="X403" s="7"/>
      <c r="Y403" s="2"/>
      <c r="Z403" s="2"/>
    </row>
    <row r="404" spans="1:26" ht="26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5"/>
      <c r="X404" s="7"/>
      <c r="Y404" s="2"/>
      <c r="Z404" s="2"/>
    </row>
    <row r="405" spans="1:26" ht="26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5"/>
      <c r="X405" s="7"/>
      <c r="Y405" s="2"/>
      <c r="Z405" s="2"/>
    </row>
    <row r="406" spans="1:26" ht="26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5"/>
      <c r="X406" s="7"/>
      <c r="Y406" s="2"/>
      <c r="Z406" s="2"/>
    </row>
    <row r="407" spans="1:26" ht="26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5"/>
      <c r="X407" s="7"/>
      <c r="Y407" s="2"/>
      <c r="Z407" s="2"/>
    </row>
    <row r="408" spans="1:26" ht="26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5"/>
      <c r="X408" s="7"/>
      <c r="Y408" s="2"/>
      <c r="Z408" s="2"/>
    </row>
    <row r="409" spans="1:26" ht="26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5"/>
      <c r="X409" s="7"/>
      <c r="Y409" s="2"/>
      <c r="Z409" s="2"/>
    </row>
    <row r="410" spans="1:26" ht="26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5"/>
      <c r="X410" s="7"/>
      <c r="Y410" s="2"/>
      <c r="Z410" s="2"/>
    </row>
    <row r="411" spans="1:26" ht="26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5"/>
      <c r="X411" s="7"/>
      <c r="Y411" s="2"/>
      <c r="Z411" s="2"/>
    </row>
    <row r="412" spans="1:26" ht="26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5"/>
      <c r="X412" s="7"/>
      <c r="Y412" s="2"/>
      <c r="Z412" s="2"/>
    </row>
    <row r="413" spans="1:26" ht="26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5"/>
      <c r="X413" s="7"/>
      <c r="Y413" s="2"/>
      <c r="Z413" s="2"/>
    </row>
    <row r="414" spans="1:26" ht="26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5"/>
      <c r="X414" s="7"/>
      <c r="Y414" s="2"/>
      <c r="Z414" s="2"/>
    </row>
    <row r="415" spans="1:26" ht="26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5"/>
      <c r="X415" s="7"/>
      <c r="Y415" s="2"/>
      <c r="Z415" s="2"/>
    </row>
    <row r="416" spans="1:26" ht="26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5"/>
      <c r="X416" s="7"/>
      <c r="Y416" s="2"/>
      <c r="Z416" s="2"/>
    </row>
    <row r="417" spans="1:26" ht="26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5"/>
      <c r="X417" s="7"/>
      <c r="Y417" s="2"/>
      <c r="Z417" s="2"/>
    </row>
    <row r="418" spans="1:26" ht="26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5"/>
      <c r="X418" s="7"/>
      <c r="Y418" s="2"/>
      <c r="Z418" s="2"/>
    </row>
    <row r="419" spans="1:26" ht="26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5"/>
      <c r="X419" s="7"/>
      <c r="Y419" s="2"/>
      <c r="Z419" s="2"/>
    </row>
    <row r="420" spans="1:26" ht="26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5"/>
      <c r="X420" s="7"/>
      <c r="Y420" s="2"/>
      <c r="Z420" s="2"/>
    </row>
    <row r="421" spans="1:26" ht="26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5"/>
      <c r="X421" s="7"/>
      <c r="Y421" s="2"/>
      <c r="Z421" s="2"/>
    </row>
    <row r="422" spans="1:26" ht="26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5"/>
      <c r="X422" s="7"/>
      <c r="Y422" s="2"/>
      <c r="Z422" s="2"/>
    </row>
    <row r="423" spans="1:26" ht="26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5"/>
      <c r="X423" s="7"/>
      <c r="Y423" s="2"/>
      <c r="Z423" s="2"/>
    </row>
    <row r="424" spans="1:26" ht="26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5"/>
      <c r="X424" s="7"/>
      <c r="Y424" s="2"/>
      <c r="Z424" s="2"/>
    </row>
    <row r="425" spans="1:26" ht="26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5"/>
      <c r="X425" s="7"/>
      <c r="Y425" s="2"/>
      <c r="Z425" s="2"/>
    </row>
    <row r="426" spans="1:26" ht="26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5"/>
      <c r="X426" s="7"/>
      <c r="Y426" s="2"/>
      <c r="Z426" s="2"/>
    </row>
    <row r="427" spans="1:26" ht="26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5"/>
      <c r="X427" s="7"/>
      <c r="Y427" s="2"/>
      <c r="Z427" s="2"/>
    </row>
    <row r="428" spans="1:26" ht="26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5"/>
      <c r="X428" s="7"/>
      <c r="Y428" s="2"/>
      <c r="Z428" s="2"/>
    </row>
    <row r="429" spans="1:26" ht="26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5"/>
      <c r="X429" s="7"/>
      <c r="Y429" s="2"/>
      <c r="Z429" s="2"/>
    </row>
    <row r="430" spans="1:26" ht="26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5"/>
      <c r="X430" s="7"/>
      <c r="Y430" s="2"/>
      <c r="Z430" s="2"/>
    </row>
    <row r="431" spans="1:26" ht="26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5"/>
      <c r="X431" s="7"/>
      <c r="Y431" s="2"/>
      <c r="Z431" s="2"/>
    </row>
    <row r="432" spans="1:26" ht="26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5"/>
      <c r="X432" s="7"/>
      <c r="Y432" s="2"/>
      <c r="Z432" s="2"/>
    </row>
    <row r="433" spans="1:26" ht="26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5"/>
      <c r="X433" s="7"/>
      <c r="Y433" s="2"/>
      <c r="Z433" s="2"/>
    </row>
    <row r="434" spans="1:26" ht="26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5"/>
      <c r="X434" s="7"/>
      <c r="Y434" s="2"/>
      <c r="Z434" s="2"/>
    </row>
    <row r="435" spans="1:26" ht="26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5"/>
      <c r="X435" s="7"/>
      <c r="Y435" s="2"/>
      <c r="Z435" s="2"/>
    </row>
    <row r="436" spans="1:26" ht="26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5"/>
      <c r="X436" s="7"/>
      <c r="Y436" s="2"/>
      <c r="Z436" s="2"/>
    </row>
    <row r="437" spans="1:26" ht="26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5"/>
      <c r="X437" s="7"/>
      <c r="Y437" s="2"/>
      <c r="Z437" s="2"/>
    </row>
    <row r="438" spans="1:26" ht="26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5"/>
      <c r="X438" s="7"/>
      <c r="Y438" s="2"/>
      <c r="Z438" s="2"/>
    </row>
    <row r="439" spans="1:26" ht="26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5"/>
      <c r="X439" s="7"/>
      <c r="Y439" s="2"/>
      <c r="Z439" s="2"/>
    </row>
    <row r="440" spans="1:26" ht="26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5"/>
      <c r="X440" s="7"/>
      <c r="Y440" s="2"/>
      <c r="Z440" s="2"/>
    </row>
    <row r="441" spans="1:26" ht="26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5"/>
      <c r="X441" s="7"/>
      <c r="Y441" s="2"/>
      <c r="Z441" s="2"/>
    </row>
    <row r="442" spans="1:26" ht="26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5"/>
      <c r="X442" s="7"/>
      <c r="Y442" s="2"/>
      <c r="Z442" s="2"/>
    </row>
    <row r="443" spans="1:26" ht="26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5"/>
      <c r="X443" s="7"/>
      <c r="Y443" s="2"/>
      <c r="Z443" s="2"/>
    </row>
    <row r="444" spans="1:26" ht="26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5"/>
      <c r="X444" s="7"/>
      <c r="Y444" s="2"/>
      <c r="Z444" s="2"/>
    </row>
    <row r="445" spans="1:26" ht="26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5"/>
      <c r="X445" s="7"/>
      <c r="Y445" s="2"/>
      <c r="Z445" s="2"/>
    </row>
    <row r="446" spans="1:26" ht="26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5"/>
      <c r="X446" s="7"/>
      <c r="Y446" s="2"/>
      <c r="Z446" s="2"/>
    </row>
    <row r="447" spans="1:26" ht="26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5"/>
      <c r="X447" s="7"/>
      <c r="Y447" s="2"/>
      <c r="Z447" s="2"/>
    </row>
    <row r="448" spans="1:26" ht="26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5"/>
      <c r="X448" s="7"/>
      <c r="Y448" s="2"/>
      <c r="Z448" s="2"/>
    </row>
    <row r="449" spans="1:26" ht="26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5"/>
      <c r="X449" s="7"/>
      <c r="Y449" s="2"/>
      <c r="Z449" s="2"/>
    </row>
    <row r="450" spans="1:26" ht="26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5"/>
      <c r="X450" s="7"/>
      <c r="Y450" s="2"/>
      <c r="Z450" s="2"/>
    </row>
    <row r="451" spans="1:26" ht="26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5"/>
      <c r="X451" s="7"/>
      <c r="Y451" s="2"/>
      <c r="Z451" s="2"/>
    </row>
    <row r="452" spans="1:26" ht="26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5"/>
      <c r="X452" s="7"/>
      <c r="Y452" s="2"/>
      <c r="Z452" s="2"/>
    </row>
    <row r="453" spans="1:26" ht="26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5"/>
      <c r="X453" s="7"/>
      <c r="Y453" s="2"/>
      <c r="Z453" s="2"/>
    </row>
    <row r="454" spans="1:26" ht="26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5"/>
      <c r="X454" s="7"/>
      <c r="Y454" s="2"/>
      <c r="Z454" s="2"/>
    </row>
    <row r="455" spans="1:26" ht="26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5"/>
      <c r="X455" s="7"/>
      <c r="Y455" s="2"/>
      <c r="Z455" s="2"/>
    </row>
    <row r="456" spans="1:26" ht="26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5"/>
      <c r="X456" s="7"/>
      <c r="Y456" s="2"/>
      <c r="Z456" s="2"/>
    </row>
    <row r="457" spans="1:26" ht="26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5"/>
      <c r="X457" s="7"/>
      <c r="Y457" s="2"/>
      <c r="Z457" s="2"/>
    </row>
    <row r="458" spans="1:26" ht="26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5"/>
      <c r="X458" s="7"/>
      <c r="Y458" s="2"/>
      <c r="Z458" s="2"/>
    </row>
    <row r="459" spans="1:26" ht="26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5"/>
      <c r="X459" s="7"/>
      <c r="Y459" s="2"/>
      <c r="Z459" s="2"/>
    </row>
    <row r="460" spans="1:26" ht="26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5"/>
      <c r="X460" s="7"/>
      <c r="Y460" s="2"/>
      <c r="Z460" s="2"/>
    </row>
    <row r="461" spans="1:26" ht="26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5"/>
      <c r="X461" s="7"/>
      <c r="Y461" s="2"/>
      <c r="Z461" s="2"/>
    </row>
    <row r="462" spans="1:26" ht="26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5"/>
      <c r="X462" s="7"/>
      <c r="Y462" s="2"/>
      <c r="Z462" s="2"/>
    </row>
    <row r="463" spans="1:26" ht="26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5"/>
      <c r="X463" s="7"/>
      <c r="Y463" s="2"/>
      <c r="Z463" s="2"/>
    </row>
    <row r="464" spans="1:26" ht="26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5"/>
      <c r="X464" s="7"/>
      <c r="Y464" s="2"/>
      <c r="Z464" s="2"/>
    </row>
    <row r="465" spans="1:26" ht="26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5"/>
      <c r="X465" s="7"/>
      <c r="Y465" s="2"/>
      <c r="Z465" s="2"/>
    </row>
    <row r="466" spans="1:26" ht="26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5"/>
      <c r="X466" s="7"/>
      <c r="Y466" s="2"/>
      <c r="Z466" s="2"/>
    </row>
    <row r="467" spans="1:26" ht="26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5"/>
      <c r="X467" s="7"/>
      <c r="Y467" s="2"/>
      <c r="Z467" s="2"/>
    </row>
    <row r="468" spans="1:26" ht="26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5"/>
      <c r="X468" s="7"/>
      <c r="Y468" s="2"/>
      <c r="Z468" s="2"/>
    </row>
    <row r="469" spans="1:26" ht="26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5"/>
      <c r="X469" s="7"/>
      <c r="Y469" s="2"/>
      <c r="Z469" s="2"/>
    </row>
    <row r="470" spans="1:26" ht="26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5"/>
      <c r="X470" s="7"/>
      <c r="Y470" s="2"/>
      <c r="Z470" s="2"/>
    </row>
    <row r="471" spans="1:26" ht="26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5"/>
      <c r="X471" s="7"/>
      <c r="Y471" s="2"/>
      <c r="Z471" s="2"/>
    </row>
    <row r="472" spans="1:26" ht="26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5"/>
      <c r="X472" s="7"/>
      <c r="Y472" s="2"/>
      <c r="Z472" s="2"/>
    </row>
    <row r="473" spans="1:26" ht="26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5"/>
      <c r="X473" s="7"/>
      <c r="Y473" s="2"/>
      <c r="Z473" s="2"/>
    </row>
    <row r="474" spans="1:26" ht="26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5"/>
      <c r="X474" s="7"/>
      <c r="Y474" s="2"/>
      <c r="Z474" s="2"/>
    </row>
    <row r="475" spans="1:26" ht="26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5"/>
      <c r="X475" s="7"/>
      <c r="Y475" s="2"/>
      <c r="Z475" s="2"/>
    </row>
    <row r="476" spans="1:26" ht="26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5"/>
      <c r="X476" s="7"/>
      <c r="Y476" s="2"/>
      <c r="Z476" s="2"/>
    </row>
    <row r="477" spans="1:26" ht="26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5"/>
      <c r="X477" s="7"/>
      <c r="Y477" s="2"/>
      <c r="Z477" s="2"/>
    </row>
    <row r="478" spans="1:26" ht="26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5"/>
      <c r="X478" s="7"/>
      <c r="Y478" s="2"/>
      <c r="Z478" s="2"/>
    </row>
    <row r="479" spans="1:26" ht="26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5"/>
      <c r="X479" s="7"/>
      <c r="Y479" s="2"/>
      <c r="Z479" s="2"/>
    </row>
    <row r="480" spans="1:26" ht="26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5"/>
      <c r="X480" s="7"/>
      <c r="Y480" s="2"/>
      <c r="Z480" s="2"/>
    </row>
    <row r="481" spans="1:26" ht="26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5"/>
      <c r="X481" s="7"/>
      <c r="Y481" s="2"/>
      <c r="Z481" s="2"/>
    </row>
    <row r="482" spans="1:26" ht="26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5"/>
      <c r="X482" s="7"/>
      <c r="Y482" s="2"/>
      <c r="Z482" s="2"/>
    </row>
    <row r="483" spans="1:26" ht="26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5"/>
      <c r="X483" s="7"/>
      <c r="Y483" s="2"/>
      <c r="Z483" s="2"/>
    </row>
    <row r="484" spans="1:26" ht="26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5"/>
      <c r="X484" s="7"/>
      <c r="Y484" s="2"/>
      <c r="Z484" s="2"/>
    </row>
    <row r="485" spans="1:26" ht="26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5"/>
      <c r="X485" s="7"/>
      <c r="Y485" s="2"/>
      <c r="Z485" s="2"/>
    </row>
    <row r="486" spans="1:26" ht="26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5"/>
      <c r="X486" s="7"/>
      <c r="Y486" s="2"/>
      <c r="Z486" s="2"/>
    </row>
    <row r="487" spans="1:26" ht="26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5"/>
      <c r="X487" s="7"/>
      <c r="Y487" s="2"/>
      <c r="Z487" s="2"/>
    </row>
    <row r="488" spans="1:26" ht="26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5"/>
      <c r="X488" s="7"/>
      <c r="Y488" s="2"/>
      <c r="Z488" s="2"/>
    </row>
    <row r="489" spans="1:26" ht="26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5"/>
      <c r="X489" s="7"/>
      <c r="Y489" s="2"/>
      <c r="Z489" s="2"/>
    </row>
    <row r="490" spans="1:26" ht="26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5"/>
      <c r="X490" s="7"/>
      <c r="Y490" s="2"/>
      <c r="Z490" s="2"/>
    </row>
    <row r="491" spans="1:26" ht="26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5"/>
      <c r="X491" s="7"/>
      <c r="Y491" s="2"/>
      <c r="Z491" s="2"/>
    </row>
    <row r="492" spans="1:26" ht="26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5"/>
      <c r="X492" s="7"/>
      <c r="Y492" s="2"/>
      <c r="Z492" s="2"/>
    </row>
    <row r="493" spans="1:26" ht="26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5"/>
      <c r="X493" s="7"/>
      <c r="Y493" s="2"/>
      <c r="Z493" s="2"/>
    </row>
    <row r="494" spans="1:26" ht="26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5"/>
      <c r="X494" s="7"/>
      <c r="Y494" s="2"/>
      <c r="Z494" s="2"/>
    </row>
    <row r="495" spans="1:26" ht="26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5"/>
      <c r="X495" s="7"/>
      <c r="Y495" s="2"/>
      <c r="Z495" s="2"/>
    </row>
    <row r="496" spans="1:26" ht="26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5"/>
      <c r="X496" s="7"/>
      <c r="Y496" s="2"/>
      <c r="Z496" s="2"/>
    </row>
    <row r="497" spans="1:26" ht="26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5"/>
      <c r="X497" s="7"/>
      <c r="Y497" s="2"/>
      <c r="Z497" s="2"/>
    </row>
    <row r="498" spans="1:26" ht="26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5"/>
      <c r="X498" s="7"/>
      <c r="Y498" s="2"/>
      <c r="Z498" s="2"/>
    </row>
    <row r="499" spans="1:26" ht="26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5"/>
      <c r="X499" s="7"/>
      <c r="Y499" s="2"/>
      <c r="Z499" s="2"/>
    </row>
    <row r="500" spans="1:26" ht="26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5"/>
      <c r="X500" s="7"/>
      <c r="Y500" s="2"/>
      <c r="Z500" s="2"/>
    </row>
    <row r="501" spans="1:26" ht="26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5"/>
      <c r="X501" s="7"/>
      <c r="Y501" s="2"/>
      <c r="Z501" s="2"/>
    </row>
    <row r="502" spans="1:26" ht="26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5"/>
      <c r="X502" s="7"/>
      <c r="Y502" s="2"/>
      <c r="Z502" s="2"/>
    </row>
    <row r="503" spans="1:26" ht="26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5"/>
      <c r="X503" s="7"/>
      <c r="Y503" s="2"/>
      <c r="Z503" s="2"/>
    </row>
    <row r="504" spans="1:26" ht="26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5"/>
      <c r="X504" s="7"/>
      <c r="Y504" s="2"/>
      <c r="Z504" s="2"/>
    </row>
    <row r="505" spans="1:26" ht="26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5"/>
      <c r="X505" s="7"/>
      <c r="Y505" s="2"/>
      <c r="Z505" s="2"/>
    </row>
    <row r="506" spans="1:26" ht="26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5"/>
      <c r="X506" s="7"/>
      <c r="Y506" s="2"/>
      <c r="Z506" s="2"/>
    </row>
    <row r="507" spans="1:26" ht="26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5"/>
      <c r="X507" s="7"/>
      <c r="Y507" s="2"/>
      <c r="Z507" s="2"/>
    </row>
    <row r="508" spans="1:26" ht="26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5"/>
      <c r="X508" s="7"/>
      <c r="Y508" s="2"/>
      <c r="Z508" s="2"/>
    </row>
    <row r="509" spans="1:26" ht="26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5"/>
      <c r="X509" s="7"/>
      <c r="Y509" s="2"/>
      <c r="Z509" s="2"/>
    </row>
    <row r="510" spans="1:26" ht="26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5"/>
      <c r="X510" s="7"/>
      <c r="Y510" s="2"/>
      <c r="Z510" s="2"/>
    </row>
    <row r="511" spans="1:26" ht="26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5"/>
      <c r="X511" s="7"/>
      <c r="Y511" s="2"/>
      <c r="Z511" s="2"/>
    </row>
    <row r="512" spans="1:26" ht="26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5"/>
      <c r="X512" s="7"/>
      <c r="Y512" s="2"/>
      <c r="Z512" s="2"/>
    </row>
    <row r="513" spans="1:26" ht="26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5"/>
      <c r="X513" s="7"/>
      <c r="Y513" s="2"/>
      <c r="Z513" s="2"/>
    </row>
    <row r="514" spans="1:26" ht="26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5"/>
      <c r="X514" s="7"/>
      <c r="Y514" s="2"/>
      <c r="Z514" s="2"/>
    </row>
    <row r="515" spans="1:26" ht="26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5"/>
      <c r="X515" s="7"/>
      <c r="Y515" s="2"/>
      <c r="Z515" s="2"/>
    </row>
    <row r="516" spans="1:26" ht="26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5"/>
      <c r="X516" s="7"/>
      <c r="Y516" s="2"/>
      <c r="Z516" s="2"/>
    </row>
    <row r="517" spans="1:26" ht="26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5"/>
      <c r="X517" s="7"/>
      <c r="Y517" s="2"/>
      <c r="Z517" s="2"/>
    </row>
    <row r="518" spans="1:26" ht="26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5"/>
      <c r="X518" s="7"/>
      <c r="Y518" s="2"/>
      <c r="Z518" s="2"/>
    </row>
    <row r="519" spans="1:26" ht="26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5"/>
      <c r="X519" s="7"/>
      <c r="Y519" s="2"/>
      <c r="Z519" s="2"/>
    </row>
    <row r="520" spans="1:26" ht="26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5"/>
      <c r="X520" s="7"/>
      <c r="Y520" s="2"/>
      <c r="Z520" s="2"/>
    </row>
    <row r="521" spans="1:26" ht="26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5"/>
      <c r="X521" s="7"/>
      <c r="Y521" s="2"/>
      <c r="Z521" s="2"/>
    </row>
    <row r="522" spans="1:26" ht="26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5"/>
      <c r="X522" s="7"/>
      <c r="Y522" s="2"/>
      <c r="Z522" s="2"/>
    </row>
    <row r="523" spans="1:26" ht="26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5"/>
      <c r="X523" s="7"/>
      <c r="Y523" s="2"/>
      <c r="Z523" s="2"/>
    </row>
    <row r="524" spans="1:26" ht="26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5"/>
      <c r="X524" s="7"/>
      <c r="Y524" s="2"/>
      <c r="Z524" s="2"/>
    </row>
    <row r="525" spans="1:26" ht="26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5"/>
      <c r="X525" s="7"/>
      <c r="Y525" s="2"/>
      <c r="Z525" s="2"/>
    </row>
    <row r="526" spans="1:26" ht="26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5"/>
      <c r="X526" s="7"/>
      <c r="Y526" s="2"/>
      <c r="Z526" s="2"/>
    </row>
    <row r="527" spans="1:26" ht="26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5"/>
      <c r="X527" s="7"/>
      <c r="Y527" s="2"/>
      <c r="Z527" s="2"/>
    </row>
    <row r="528" spans="1:26" ht="26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5"/>
      <c r="X528" s="7"/>
      <c r="Y528" s="2"/>
      <c r="Z528" s="2"/>
    </row>
    <row r="529" spans="1:26" ht="26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5"/>
      <c r="X529" s="7"/>
      <c r="Y529" s="2"/>
      <c r="Z529" s="2"/>
    </row>
    <row r="530" spans="1:26" ht="26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5"/>
      <c r="X530" s="7"/>
      <c r="Y530" s="2"/>
      <c r="Z530" s="2"/>
    </row>
    <row r="531" spans="1:26" ht="26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5"/>
      <c r="X531" s="7"/>
      <c r="Y531" s="2"/>
      <c r="Z531" s="2"/>
    </row>
    <row r="532" spans="1:26" ht="26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5"/>
      <c r="X532" s="7"/>
      <c r="Y532" s="2"/>
      <c r="Z532" s="2"/>
    </row>
    <row r="533" spans="1:26" ht="26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5"/>
      <c r="X533" s="7"/>
      <c r="Y533" s="2"/>
      <c r="Z533" s="2"/>
    </row>
    <row r="534" spans="1:26" ht="26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5"/>
      <c r="X534" s="7"/>
      <c r="Y534" s="2"/>
      <c r="Z534" s="2"/>
    </row>
    <row r="535" spans="1:26" ht="26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5"/>
      <c r="X535" s="7"/>
      <c r="Y535" s="2"/>
      <c r="Z535" s="2"/>
    </row>
    <row r="536" spans="1:26" ht="26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5"/>
      <c r="X536" s="7"/>
      <c r="Y536" s="2"/>
      <c r="Z536" s="2"/>
    </row>
    <row r="537" spans="1:26" ht="26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5"/>
      <c r="X537" s="7"/>
      <c r="Y537" s="2"/>
      <c r="Z537" s="2"/>
    </row>
    <row r="538" spans="1:26" ht="26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5"/>
      <c r="X538" s="7"/>
      <c r="Y538" s="2"/>
      <c r="Z538" s="2"/>
    </row>
    <row r="539" spans="1:26" ht="26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5"/>
      <c r="X539" s="7"/>
      <c r="Y539" s="2"/>
      <c r="Z539" s="2"/>
    </row>
    <row r="540" spans="1:26" ht="26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5"/>
      <c r="X540" s="7"/>
      <c r="Y540" s="2"/>
      <c r="Z540" s="2"/>
    </row>
    <row r="541" spans="1:26" ht="26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5"/>
      <c r="X541" s="7"/>
      <c r="Y541" s="2"/>
      <c r="Z541" s="2"/>
    </row>
    <row r="542" spans="1:26" ht="26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5"/>
      <c r="X542" s="7"/>
      <c r="Y542" s="2"/>
      <c r="Z542" s="2"/>
    </row>
    <row r="543" spans="1:26" ht="26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5"/>
      <c r="X543" s="7"/>
      <c r="Y543" s="2"/>
      <c r="Z543" s="2"/>
    </row>
    <row r="544" spans="1:26" ht="26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5"/>
      <c r="X544" s="7"/>
      <c r="Y544" s="2"/>
      <c r="Z544" s="2"/>
    </row>
    <row r="545" spans="1:26" ht="26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5"/>
      <c r="X545" s="7"/>
      <c r="Y545" s="2"/>
      <c r="Z545" s="2"/>
    </row>
    <row r="546" spans="1:26" ht="26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5"/>
      <c r="X546" s="7"/>
      <c r="Y546" s="2"/>
      <c r="Z546" s="2"/>
    </row>
    <row r="547" spans="1:26" ht="26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5"/>
      <c r="X547" s="7"/>
      <c r="Y547" s="2"/>
      <c r="Z547" s="2"/>
    </row>
    <row r="548" spans="1:26" ht="26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5"/>
      <c r="X548" s="7"/>
      <c r="Y548" s="2"/>
      <c r="Z548" s="2"/>
    </row>
    <row r="549" spans="1:26" ht="26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5"/>
      <c r="X549" s="7"/>
      <c r="Y549" s="2"/>
      <c r="Z549" s="2"/>
    </row>
    <row r="550" spans="1:26" ht="26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5"/>
      <c r="X550" s="7"/>
      <c r="Y550" s="2"/>
      <c r="Z550" s="2"/>
    </row>
    <row r="551" spans="1:26" ht="26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5"/>
      <c r="X551" s="7"/>
      <c r="Y551" s="2"/>
      <c r="Z551" s="2"/>
    </row>
    <row r="552" spans="1:26" ht="26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5"/>
      <c r="X552" s="7"/>
      <c r="Y552" s="2"/>
      <c r="Z552" s="2"/>
    </row>
    <row r="553" spans="1:26" ht="26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5"/>
      <c r="X553" s="7"/>
      <c r="Y553" s="2"/>
      <c r="Z553" s="2"/>
    </row>
    <row r="554" spans="1:26" ht="26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5"/>
      <c r="X554" s="7"/>
      <c r="Y554" s="2"/>
      <c r="Z554" s="2"/>
    </row>
    <row r="555" spans="1:26" ht="26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5"/>
      <c r="X555" s="7"/>
      <c r="Y555" s="2"/>
      <c r="Z555" s="2"/>
    </row>
    <row r="556" spans="1:26" ht="26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5"/>
      <c r="X556" s="7"/>
      <c r="Y556" s="2"/>
      <c r="Z556" s="2"/>
    </row>
    <row r="557" spans="1:26" ht="26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5"/>
      <c r="X557" s="7"/>
      <c r="Y557" s="2"/>
      <c r="Z557" s="2"/>
    </row>
    <row r="558" spans="1:26" ht="26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5"/>
      <c r="X558" s="7"/>
      <c r="Y558" s="2"/>
      <c r="Z558" s="2"/>
    </row>
    <row r="559" spans="1:26" ht="26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5"/>
      <c r="X559" s="7"/>
      <c r="Y559" s="2"/>
      <c r="Z559" s="2"/>
    </row>
    <row r="560" spans="1:26" ht="26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5"/>
      <c r="X560" s="7"/>
      <c r="Y560" s="2"/>
      <c r="Z560" s="2"/>
    </row>
    <row r="561" spans="1:26" ht="26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5"/>
      <c r="X561" s="7"/>
      <c r="Y561" s="2"/>
      <c r="Z561" s="2"/>
    </row>
    <row r="562" spans="1:26" ht="26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5"/>
      <c r="X562" s="7"/>
      <c r="Y562" s="2"/>
      <c r="Z562" s="2"/>
    </row>
    <row r="563" spans="1:26" ht="26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5"/>
      <c r="X563" s="7"/>
      <c r="Y563" s="2"/>
      <c r="Z563" s="2"/>
    </row>
    <row r="564" spans="1:26" ht="26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5"/>
      <c r="X564" s="7"/>
      <c r="Y564" s="2"/>
      <c r="Z564" s="2"/>
    </row>
    <row r="565" spans="1:26" ht="26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5"/>
      <c r="X565" s="7"/>
      <c r="Y565" s="2"/>
      <c r="Z565" s="2"/>
    </row>
    <row r="566" spans="1:26" ht="26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5"/>
      <c r="X566" s="7"/>
      <c r="Y566" s="2"/>
      <c r="Z566" s="2"/>
    </row>
    <row r="567" spans="1:26" ht="26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5"/>
      <c r="X567" s="7"/>
      <c r="Y567" s="2"/>
      <c r="Z567" s="2"/>
    </row>
    <row r="568" spans="1:26" ht="26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5"/>
      <c r="X568" s="7"/>
      <c r="Y568" s="2"/>
      <c r="Z568" s="2"/>
    </row>
    <row r="569" spans="1:26" ht="26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5"/>
      <c r="X569" s="7"/>
      <c r="Y569" s="2"/>
      <c r="Z569" s="2"/>
    </row>
    <row r="570" spans="1:26" ht="26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5"/>
      <c r="X570" s="7"/>
      <c r="Y570" s="2"/>
      <c r="Z570" s="2"/>
    </row>
    <row r="571" spans="1:26" ht="26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5"/>
      <c r="X571" s="7"/>
      <c r="Y571" s="2"/>
      <c r="Z571" s="2"/>
    </row>
    <row r="572" spans="1:26" ht="26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5"/>
      <c r="X572" s="7"/>
      <c r="Y572" s="2"/>
      <c r="Z572" s="2"/>
    </row>
    <row r="573" spans="1:26" ht="26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5"/>
      <c r="X573" s="7"/>
      <c r="Y573" s="2"/>
      <c r="Z573" s="2"/>
    </row>
    <row r="574" spans="1:26" ht="26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5"/>
      <c r="X574" s="7"/>
      <c r="Y574" s="2"/>
      <c r="Z574" s="2"/>
    </row>
    <row r="575" spans="1:26" ht="26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5"/>
      <c r="X575" s="7"/>
      <c r="Y575" s="2"/>
      <c r="Z575" s="2"/>
    </row>
    <row r="576" spans="1:26" ht="26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5"/>
      <c r="X576" s="7"/>
      <c r="Y576" s="2"/>
      <c r="Z576" s="2"/>
    </row>
    <row r="577" spans="1:26" ht="26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5"/>
      <c r="X577" s="7"/>
      <c r="Y577" s="2"/>
      <c r="Z577" s="2"/>
    </row>
    <row r="578" spans="1:26" ht="26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5"/>
      <c r="X578" s="7"/>
      <c r="Y578" s="2"/>
      <c r="Z578" s="2"/>
    </row>
    <row r="579" spans="1:26" ht="26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5"/>
      <c r="X579" s="7"/>
      <c r="Y579" s="2"/>
      <c r="Z579" s="2"/>
    </row>
    <row r="580" spans="1:26" ht="26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5"/>
      <c r="X580" s="7"/>
      <c r="Y580" s="2"/>
      <c r="Z580" s="2"/>
    </row>
    <row r="581" spans="1:26" ht="26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5"/>
      <c r="X581" s="7"/>
      <c r="Y581" s="2"/>
      <c r="Z581" s="2"/>
    </row>
    <row r="582" spans="1:26" ht="26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5"/>
      <c r="X582" s="7"/>
      <c r="Y582" s="2"/>
      <c r="Z582" s="2"/>
    </row>
    <row r="583" spans="1:26" ht="26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5"/>
      <c r="X583" s="7"/>
      <c r="Y583" s="2"/>
      <c r="Z583" s="2"/>
    </row>
    <row r="584" spans="1:26" ht="26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5"/>
      <c r="X584" s="7"/>
      <c r="Y584" s="2"/>
      <c r="Z584" s="2"/>
    </row>
    <row r="585" spans="1:26" ht="26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5"/>
      <c r="X585" s="7"/>
      <c r="Y585" s="2"/>
      <c r="Z585" s="2"/>
    </row>
    <row r="586" spans="1:26" ht="26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5"/>
      <c r="X586" s="7"/>
      <c r="Y586" s="2"/>
      <c r="Z586" s="2"/>
    </row>
    <row r="587" spans="1:26" ht="26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5"/>
      <c r="X587" s="7"/>
      <c r="Y587" s="2"/>
      <c r="Z587" s="2"/>
    </row>
    <row r="588" spans="1:26" ht="26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5"/>
      <c r="X588" s="7"/>
      <c r="Y588" s="2"/>
      <c r="Z588" s="2"/>
    </row>
    <row r="589" spans="1:26" ht="26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5"/>
      <c r="X589" s="7"/>
      <c r="Y589" s="2"/>
      <c r="Z589" s="2"/>
    </row>
    <row r="590" spans="1:26" ht="26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5"/>
      <c r="X590" s="7"/>
      <c r="Y590" s="2"/>
      <c r="Z590" s="2"/>
    </row>
    <row r="591" spans="1:26" ht="26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5"/>
      <c r="X591" s="7"/>
      <c r="Y591" s="2"/>
      <c r="Z591" s="2"/>
    </row>
    <row r="592" spans="1:26" ht="26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5"/>
      <c r="X592" s="7"/>
      <c r="Y592" s="2"/>
      <c r="Z592" s="2"/>
    </row>
    <row r="593" spans="1:26" ht="26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5"/>
      <c r="X593" s="7"/>
      <c r="Y593" s="2"/>
      <c r="Z593" s="2"/>
    </row>
    <row r="594" spans="1:26" ht="26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5"/>
      <c r="X594" s="7"/>
      <c r="Y594" s="2"/>
      <c r="Z594" s="2"/>
    </row>
    <row r="595" spans="1:26" ht="26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5"/>
      <c r="X595" s="7"/>
      <c r="Y595" s="2"/>
      <c r="Z595" s="2"/>
    </row>
    <row r="596" spans="1:26" ht="26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5"/>
      <c r="X596" s="7"/>
      <c r="Y596" s="2"/>
      <c r="Z596" s="2"/>
    </row>
    <row r="597" spans="1:26" ht="26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5"/>
      <c r="X597" s="7"/>
      <c r="Y597" s="2"/>
      <c r="Z597" s="2"/>
    </row>
    <row r="598" spans="1:26" ht="26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5"/>
      <c r="X598" s="7"/>
      <c r="Y598" s="2"/>
      <c r="Z598" s="2"/>
    </row>
    <row r="599" spans="1:26" ht="26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5"/>
      <c r="X599" s="7"/>
      <c r="Y599" s="2"/>
      <c r="Z599" s="2"/>
    </row>
    <row r="600" spans="1:26" ht="26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5"/>
      <c r="X600" s="7"/>
      <c r="Y600" s="2"/>
      <c r="Z600" s="2"/>
    </row>
    <row r="601" spans="1:26" ht="26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5"/>
      <c r="X601" s="7"/>
      <c r="Y601" s="2"/>
      <c r="Z601" s="2"/>
    </row>
    <row r="602" spans="1:26" ht="26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5"/>
      <c r="X602" s="7"/>
      <c r="Y602" s="2"/>
      <c r="Z602" s="2"/>
    </row>
    <row r="603" spans="1:26" ht="26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5"/>
      <c r="X603" s="7"/>
      <c r="Y603" s="2"/>
      <c r="Z603" s="2"/>
    </row>
    <row r="604" spans="1:26" ht="26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5"/>
      <c r="X604" s="7"/>
      <c r="Y604" s="2"/>
      <c r="Z604" s="2"/>
    </row>
    <row r="605" spans="1:26" ht="26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5"/>
      <c r="X605" s="7"/>
      <c r="Y605" s="2"/>
      <c r="Z605" s="2"/>
    </row>
    <row r="606" spans="1:26" ht="26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5"/>
      <c r="X606" s="7"/>
      <c r="Y606" s="2"/>
      <c r="Z606" s="2"/>
    </row>
    <row r="607" spans="1:26" ht="26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5"/>
      <c r="X607" s="7"/>
      <c r="Y607" s="2"/>
      <c r="Z607" s="2"/>
    </row>
    <row r="608" spans="1:26" ht="26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5"/>
      <c r="X608" s="7"/>
      <c r="Y608" s="2"/>
      <c r="Z608" s="2"/>
    </row>
    <row r="609" spans="1:26" ht="26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5"/>
      <c r="X609" s="7"/>
      <c r="Y609" s="2"/>
      <c r="Z609" s="2"/>
    </row>
    <row r="610" spans="1:26" ht="26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5"/>
      <c r="X610" s="7"/>
      <c r="Y610" s="2"/>
      <c r="Z610" s="2"/>
    </row>
    <row r="611" spans="1:26" ht="26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5"/>
      <c r="X611" s="7"/>
      <c r="Y611" s="2"/>
      <c r="Z611" s="2"/>
    </row>
    <row r="612" spans="1:26" ht="26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5"/>
      <c r="X612" s="7"/>
      <c r="Y612" s="2"/>
      <c r="Z612" s="2"/>
    </row>
    <row r="613" spans="1:26" ht="26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5"/>
      <c r="X613" s="7"/>
      <c r="Y613" s="2"/>
      <c r="Z613" s="2"/>
    </row>
    <row r="614" spans="1:26" ht="26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5"/>
      <c r="X614" s="7"/>
      <c r="Y614" s="2"/>
      <c r="Z614" s="2"/>
    </row>
    <row r="615" spans="1:26" ht="26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5"/>
      <c r="X615" s="7"/>
      <c r="Y615" s="2"/>
      <c r="Z615" s="2"/>
    </row>
    <row r="616" spans="1:26" ht="26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5"/>
      <c r="X616" s="7"/>
      <c r="Y616" s="2"/>
      <c r="Z616" s="2"/>
    </row>
    <row r="617" spans="1:26" ht="26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5"/>
      <c r="X617" s="7"/>
      <c r="Y617" s="2"/>
      <c r="Z617" s="2"/>
    </row>
    <row r="618" spans="1:26" ht="26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5"/>
      <c r="X618" s="7"/>
      <c r="Y618" s="2"/>
      <c r="Z618" s="2"/>
    </row>
    <row r="619" spans="1:26" ht="26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5"/>
      <c r="X619" s="7"/>
      <c r="Y619" s="2"/>
      <c r="Z619" s="2"/>
    </row>
    <row r="620" spans="1:26" ht="26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5"/>
      <c r="X620" s="7"/>
      <c r="Y620" s="2"/>
      <c r="Z620" s="2"/>
    </row>
    <row r="621" spans="1:26" ht="26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5"/>
      <c r="X621" s="7"/>
      <c r="Y621" s="2"/>
      <c r="Z621" s="2"/>
    </row>
    <row r="622" spans="1:26" ht="26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5"/>
      <c r="X622" s="7"/>
      <c r="Y622" s="2"/>
      <c r="Z622" s="2"/>
    </row>
    <row r="623" spans="1:26" ht="26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5"/>
      <c r="X623" s="7"/>
      <c r="Y623" s="2"/>
      <c r="Z623" s="2"/>
    </row>
    <row r="624" spans="1:26" ht="26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5"/>
      <c r="X624" s="7"/>
      <c r="Y624" s="2"/>
      <c r="Z624" s="2"/>
    </row>
    <row r="625" spans="1:26" ht="26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5"/>
      <c r="X625" s="7"/>
      <c r="Y625" s="2"/>
      <c r="Z625" s="2"/>
    </row>
    <row r="626" spans="1:26" ht="26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5"/>
      <c r="X626" s="7"/>
      <c r="Y626" s="2"/>
      <c r="Z626" s="2"/>
    </row>
    <row r="627" spans="1:26" ht="26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5"/>
      <c r="X627" s="7"/>
      <c r="Y627" s="2"/>
      <c r="Z627" s="2"/>
    </row>
    <row r="628" spans="1:26" ht="26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5"/>
      <c r="X628" s="7"/>
      <c r="Y628" s="2"/>
      <c r="Z628" s="2"/>
    </row>
    <row r="629" spans="1:26" ht="26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5"/>
      <c r="X629" s="7"/>
      <c r="Y629" s="2"/>
      <c r="Z629" s="2"/>
    </row>
    <row r="630" spans="1:26" ht="26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5"/>
      <c r="X630" s="7"/>
      <c r="Y630" s="2"/>
      <c r="Z630" s="2"/>
    </row>
    <row r="631" spans="1:26" ht="26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5"/>
      <c r="X631" s="7"/>
      <c r="Y631" s="2"/>
      <c r="Z631" s="2"/>
    </row>
    <row r="632" spans="1:26" ht="26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5"/>
      <c r="X632" s="7"/>
      <c r="Y632" s="2"/>
      <c r="Z632" s="2"/>
    </row>
    <row r="633" spans="1:26" ht="26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5"/>
      <c r="X633" s="7"/>
      <c r="Y633" s="2"/>
      <c r="Z633" s="2"/>
    </row>
    <row r="634" spans="1:26" ht="26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5"/>
      <c r="X634" s="7"/>
      <c r="Y634" s="2"/>
      <c r="Z634" s="2"/>
    </row>
    <row r="635" spans="1:26" ht="26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5"/>
      <c r="X635" s="7"/>
      <c r="Y635" s="2"/>
      <c r="Z635" s="2"/>
    </row>
    <row r="636" spans="1:26" ht="26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5"/>
      <c r="X636" s="7"/>
      <c r="Y636" s="2"/>
      <c r="Z636" s="2"/>
    </row>
    <row r="637" spans="1:26" ht="26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5"/>
      <c r="X637" s="7"/>
      <c r="Y637" s="2"/>
      <c r="Z637" s="2"/>
    </row>
    <row r="638" spans="1:26" ht="26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5"/>
      <c r="X638" s="7"/>
      <c r="Y638" s="2"/>
      <c r="Z638" s="2"/>
    </row>
    <row r="639" spans="1:26" ht="26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5"/>
      <c r="X639" s="7"/>
      <c r="Y639" s="2"/>
      <c r="Z639" s="2"/>
    </row>
    <row r="640" spans="1:26" ht="26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5"/>
      <c r="X640" s="7"/>
      <c r="Y640" s="2"/>
      <c r="Z640" s="2"/>
    </row>
    <row r="641" spans="1:26" ht="26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5"/>
      <c r="X641" s="7"/>
      <c r="Y641" s="2"/>
      <c r="Z641" s="2"/>
    </row>
    <row r="642" spans="1:26" ht="26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5"/>
      <c r="X642" s="7"/>
      <c r="Y642" s="2"/>
      <c r="Z642" s="2"/>
    </row>
    <row r="643" spans="1:26" ht="26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5"/>
      <c r="X643" s="7"/>
      <c r="Y643" s="2"/>
      <c r="Z643" s="2"/>
    </row>
    <row r="644" spans="1:26" ht="26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5"/>
      <c r="X644" s="7"/>
      <c r="Y644" s="2"/>
      <c r="Z644" s="2"/>
    </row>
    <row r="645" spans="1:26" ht="26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5"/>
      <c r="X645" s="7"/>
      <c r="Y645" s="2"/>
      <c r="Z645" s="2"/>
    </row>
    <row r="646" spans="1:26" ht="26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5"/>
      <c r="X646" s="7"/>
      <c r="Y646" s="2"/>
      <c r="Z646" s="2"/>
    </row>
    <row r="647" spans="1:26" ht="26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5"/>
      <c r="X647" s="7"/>
      <c r="Y647" s="2"/>
      <c r="Z647" s="2"/>
    </row>
    <row r="648" spans="1:26" ht="26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5"/>
      <c r="X648" s="7"/>
      <c r="Y648" s="2"/>
      <c r="Z648" s="2"/>
    </row>
    <row r="649" spans="1:26" ht="26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5"/>
      <c r="X649" s="7"/>
      <c r="Y649" s="2"/>
      <c r="Z649" s="2"/>
    </row>
    <row r="650" spans="1:26" ht="26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5"/>
      <c r="X650" s="7"/>
      <c r="Y650" s="2"/>
      <c r="Z650" s="2"/>
    </row>
    <row r="651" spans="1:26" ht="26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5"/>
      <c r="X651" s="7"/>
      <c r="Y651" s="2"/>
      <c r="Z651" s="2"/>
    </row>
    <row r="652" spans="1:26" ht="26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5"/>
      <c r="X652" s="7"/>
      <c r="Y652" s="2"/>
      <c r="Z652" s="2"/>
    </row>
    <row r="653" spans="1:26" ht="26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5"/>
      <c r="X653" s="7"/>
      <c r="Y653" s="2"/>
      <c r="Z653" s="2"/>
    </row>
    <row r="654" spans="1:26" ht="26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5"/>
      <c r="X654" s="7"/>
      <c r="Y654" s="2"/>
      <c r="Z654" s="2"/>
    </row>
    <row r="655" spans="1:26" ht="26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5"/>
      <c r="X655" s="7"/>
      <c r="Y655" s="2"/>
      <c r="Z655" s="2"/>
    </row>
    <row r="656" spans="1:26" ht="26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5"/>
      <c r="X656" s="7"/>
      <c r="Y656" s="2"/>
      <c r="Z656" s="2"/>
    </row>
    <row r="657" spans="1:26" ht="26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5"/>
      <c r="X657" s="7"/>
      <c r="Y657" s="2"/>
      <c r="Z657" s="2"/>
    </row>
    <row r="658" spans="1:26" ht="26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5"/>
      <c r="X658" s="7"/>
      <c r="Y658" s="2"/>
      <c r="Z658" s="2"/>
    </row>
    <row r="659" spans="1:26" ht="26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5"/>
      <c r="X659" s="7"/>
      <c r="Y659" s="2"/>
      <c r="Z659" s="2"/>
    </row>
    <row r="660" spans="1:26" ht="26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5"/>
      <c r="X660" s="7"/>
      <c r="Y660" s="2"/>
      <c r="Z660" s="2"/>
    </row>
    <row r="661" spans="1:26" ht="26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5"/>
      <c r="X661" s="7"/>
      <c r="Y661" s="2"/>
      <c r="Z661" s="2"/>
    </row>
    <row r="662" spans="1:26" ht="26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5"/>
      <c r="X662" s="7"/>
      <c r="Y662" s="2"/>
      <c r="Z662" s="2"/>
    </row>
    <row r="663" spans="1:26" ht="26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5"/>
      <c r="X663" s="7"/>
      <c r="Y663" s="2"/>
      <c r="Z663" s="2"/>
    </row>
    <row r="664" spans="1:26" ht="26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5"/>
      <c r="X664" s="7"/>
      <c r="Y664" s="2"/>
      <c r="Z664" s="2"/>
    </row>
    <row r="665" spans="1:26" ht="26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5"/>
      <c r="X665" s="7"/>
      <c r="Y665" s="2"/>
      <c r="Z665" s="2"/>
    </row>
    <row r="666" spans="1:26" ht="26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5"/>
      <c r="X666" s="7"/>
      <c r="Y666" s="2"/>
      <c r="Z666" s="2"/>
    </row>
    <row r="667" spans="1:26" ht="26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5"/>
      <c r="X667" s="7"/>
      <c r="Y667" s="2"/>
      <c r="Z667" s="2"/>
    </row>
    <row r="668" spans="1:26" ht="26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5"/>
      <c r="X668" s="7"/>
      <c r="Y668" s="2"/>
      <c r="Z668" s="2"/>
    </row>
    <row r="669" spans="1:26" ht="26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5"/>
      <c r="X669" s="7"/>
      <c r="Y669" s="2"/>
      <c r="Z669" s="2"/>
    </row>
    <row r="670" spans="1:26" ht="26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5"/>
      <c r="X670" s="7"/>
      <c r="Y670" s="2"/>
      <c r="Z670" s="2"/>
    </row>
    <row r="671" spans="1:26" ht="26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5"/>
      <c r="X671" s="7"/>
      <c r="Y671" s="2"/>
      <c r="Z671" s="2"/>
    </row>
    <row r="672" spans="1:26" ht="26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5"/>
      <c r="X672" s="7"/>
      <c r="Y672" s="2"/>
      <c r="Z672" s="2"/>
    </row>
    <row r="673" spans="1:26" ht="26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5"/>
      <c r="X673" s="7"/>
      <c r="Y673" s="2"/>
      <c r="Z673" s="2"/>
    </row>
    <row r="674" spans="1:26" ht="26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5"/>
      <c r="X674" s="7"/>
      <c r="Y674" s="2"/>
      <c r="Z674" s="2"/>
    </row>
    <row r="675" spans="1:26" ht="26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5"/>
      <c r="X675" s="7"/>
      <c r="Y675" s="2"/>
      <c r="Z675" s="2"/>
    </row>
    <row r="676" spans="1:26" ht="26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5"/>
      <c r="X676" s="7"/>
      <c r="Y676" s="2"/>
      <c r="Z676" s="2"/>
    </row>
    <row r="677" spans="1:26" ht="26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5"/>
      <c r="X677" s="7"/>
      <c r="Y677" s="2"/>
      <c r="Z677" s="2"/>
    </row>
    <row r="678" spans="1:26" ht="26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5"/>
      <c r="X678" s="7"/>
      <c r="Y678" s="2"/>
      <c r="Z678" s="2"/>
    </row>
    <row r="679" spans="1:26" ht="26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5"/>
      <c r="X679" s="7"/>
      <c r="Y679" s="2"/>
      <c r="Z679" s="2"/>
    </row>
    <row r="680" spans="1:26" ht="26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5"/>
      <c r="X680" s="7"/>
      <c r="Y680" s="2"/>
      <c r="Z680" s="2"/>
    </row>
    <row r="681" spans="1:26" ht="26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5"/>
      <c r="X681" s="7"/>
      <c r="Y681" s="2"/>
      <c r="Z681" s="2"/>
    </row>
    <row r="682" spans="1:26" ht="26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5"/>
      <c r="X682" s="7"/>
      <c r="Y682" s="2"/>
      <c r="Z682" s="2"/>
    </row>
    <row r="683" spans="1:26" ht="26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5"/>
      <c r="X683" s="7"/>
      <c r="Y683" s="2"/>
      <c r="Z683" s="2"/>
    </row>
    <row r="684" spans="1:26" ht="26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5"/>
      <c r="X684" s="7"/>
      <c r="Y684" s="2"/>
      <c r="Z684" s="2"/>
    </row>
    <row r="685" spans="1:26" ht="26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5"/>
      <c r="X685" s="7"/>
      <c r="Y685" s="2"/>
      <c r="Z685" s="2"/>
    </row>
    <row r="686" spans="1:26" ht="26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5"/>
      <c r="X686" s="7"/>
      <c r="Y686" s="2"/>
      <c r="Z686" s="2"/>
    </row>
    <row r="687" spans="1:26" ht="26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5"/>
      <c r="X687" s="7"/>
      <c r="Y687" s="2"/>
      <c r="Z687" s="2"/>
    </row>
    <row r="688" spans="1:26" ht="26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5"/>
      <c r="X688" s="7"/>
      <c r="Y688" s="2"/>
      <c r="Z688" s="2"/>
    </row>
    <row r="689" spans="1:26" ht="26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5"/>
      <c r="X689" s="7"/>
      <c r="Y689" s="2"/>
      <c r="Z689" s="2"/>
    </row>
    <row r="690" spans="1:26" ht="26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5"/>
      <c r="X690" s="7"/>
      <c r="Y690" s="2"/>
      <c r="Z690" s="2"/>
    </row>
    <row r="691" spans="1:26" ht="26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5"/>
      <c r="X691" s="7"/>
      <c r="Y691" s="2"/>
      <c r="Z691" s="2"/>
    </row>
    <row r="692" spans="1:26" ht="26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5"/>
      <c r="X692" s="7"/>
      <c r="Y692" s="2"/>
      <c r="Z692" s="2"/>
    </row>
    <row r="693" spans="1:26" ht="26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5"/>
      <c r="X693" s="7"/>
      <c r="Y693" s="2"/>
      <c r="Z693" s="2"/>
    </row>
    <row r="694" spans="1:26" ht="26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5"/>
      <c r="X694" s="7"/>
      <c r="Y694" s="2"/>
      <c r="Z694" s="2"/>
    </row>
    <row r="695" spans="1:26" ht="26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5"/>
      <c r="X695" s="7"/>
      <c r="Y695" s="2"/>
      <c r="Z695" s="2"/>
    </row>
    <row r="696" spans="1:26" ht="26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5"/>
      <c r="X696" s="7"/>
      <c r="Y696" s="2"/>
      <c r="Z696" s="2"/>
    </row>
    <row r="697" spans="1:26" ht="26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5"/>
      <c r="X697" s="7"/>
      <c r="Y697" s="2"/>
      <c r="Z697" s="2"/>
    </row>
    <row r="698" spans="1:26" ht="26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5"/>
      <c r="X698" s="7"/>
      <c r="Y698" s="2"/>
      <c r="Z698" s="2"/>
    </row>
    <row r="699" spans="1:26" ht="26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5"/>
      <c r="X699" s="7"/>
      <c r="Y699" s="2"/>
      <c r="Z699" s="2"/>
    </row>
    <row r="700" spans="1:26" ht="26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5"/>
      <c r="X700" s="7"/>
      <c r="Y700" s="2"/>
      <c r="Z700" s="2"/>
    </row>
    <row r="701" spans="1:26" ht="26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5"/>
      <c r="X701" s="7"/>
      <c r="Y701" s="2"/>
      <c r="Z701" s="2"/>
    </row>
    <row r="702" spans="1:26" ht="26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5"/>
      <c r="X702" s="7"/>
      <c r="Y702" s="2"/>
      <c r="Z702" s="2"/>
    </row>
    <row r="703" spans="1:26" ht="26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5"/>
      <c r="X703" s="7"/>
      <c r="Y703" s="2"/>
      <c r="Z703" s="2"/>
    </row>
    <row r="704" spans="1:26" ht="26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5"/>
      <c r="X704" s="7"/>
      <c r="Y704" s="2"/>
      <c r="Z704" s="2"/>
    </row>
    <row r="705" spans="1:26" ht="26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5"/>
      <c r="X705" s="7"/>
      <c r="Y705" s="2"/>
      <c r="Z705" s="2"/>
    </row>
    <row r="706" spans="1:26" ht="26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5"/>
      <c r="X706" s="7"/>
      <c r="Y706" s="2"/>
      <c r="Z706" s="2"/>
    </row>
    <row r="707" spans="1:26" ht="26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5"/>
      <c r="X707" s="7"/>
      <c r="Y707" s="2"/>
      <c r="Z707" s="2"/>
    </row>
    <row r="708" spans="1:26" ht="26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5"/>
      <c r="X708" s="7"/>
      <c r="Y708" s="2"/>
      <c r="Z708" s="2"/>
    </row>
    <row r="709" spans="1:26" ht="26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5"/>
      <c r="X709" s="7"/>
      <c r="Y709" s="2"/>
      <c r="Z709" s="2"/>
    </row>
    <row r="710" spans="1:26" ht="26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5"/>
      <c r="X710" s="7"/>
      <c r="Y710" s="2"/>
      <c r="Z710" s="2"/>
    </row>
    <row r="711" spans="1:26" ht="26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5"/>
      <c r="X711" s="7"/>
      <c r="Y711" s="2"/>
      <c r="Z711" s="2"/>
    </row>
    <row r="712" spans="1:26" ht="26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5"/>
      <c r="X712" s="7"/>
      <c r="Y712" s="2"/>
      <c r="Z712" s="2"/>
    </row>
    <row r="713" spans="1:26" ht="26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5"/>
      <c r="X713" s="7"/>
      <c r="Y713" s="2"/>
      <c r="Z713" s="2"/>
    </row>
    <row r="714" spans="1:26" ht="26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5"/>
      <c r="X714" s="7"/>
      <c r="Y714" s="2"/>
      <c r="Z714" s="2"/>
    </row>
    <row r="715" spans="1:26" ht="26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5"/>
      <c r="X715" s="7"/>
      <c r="Y715" s="2"/>
      <c r="Z715" s="2"/>
    </row>
    <row r="716" spans="1:26" ht="26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5"/>
      <c r="X716" s="7"/>
      <c r="Y716" s="2"/>
      <c r="Z716" s="2"/>
    </row>
    <row r="717" spans="1:26" ht="26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5"/>
      <c r="X717" s="7"/>
      <c r="Y717" s="2"/>
      <c r="Z717" s="2"/>
    </row>
    <row r="718" spans="1:26" ht="26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5"/>
      <c r="X718" s="7"/>
      <c r="Y718" s="2"/>
      <c r="Z718" s="2"/>
    </row>
    <row r="719" spans="1:26" ht="26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5"/>
      <c r="X719" s="7"/>
      <c r="Y719" s="2"/>
      <c r="Z719" s="2"/>
    </row>
    <row r="720" spans="1:26" ht="26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5"/>
      <c r="X720" s="7"/>
      <c r="Y720" s="2"/>
      <c r="Z720" s="2"/>
    </row>
    <row r="721" spans="1:26" ht="26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5"/>
      <c r="X721" s="7"/>
      <c r="Y721" s="2"/>
      <c r="Z721" s="2"/>
    </row>
    <row r="722" spans="1:26" ht="26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5"/>
      <c r="X722" s="7"/>
      <c r="Y722" s="2"/>
      <c r="Z722" s="2"/>
    </row>
    <row r="723" spans="1:26" ht="26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5"/>
      <c r="X723" s="7"/>
      <c r="Y723" s="2"/>
      <c r="Z723" s="2"/>
    </row>
    <row r="724" spans="1:26" ht="26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5"/>
      <c r="X724" s="7"/>
      <c r="Y724" s="2"/>
      <c r="Z724" s="2"/>
    </row>
    <row r="725" spans="1:26" ht="26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5"/>
      <c r="X725" s="7"/>
      <c r="Y725" s="2"/>
      <c r="Z725" s="2"/>
    </row>
    <row r="726" spans="1:26" ht="26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5"/>
      <c r="X726" s="7"/>
      <c r="Y726" s="2"/>
      <c r="Z726" s="2"/>
    </row>
    <row r="727" spans="1:26" ht="26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5"/>
      <c r="X727" s="7"/>
      <c r="Y727" s="2"/>
      <c r="Z727" s="2"/>
    </row>
    <row r="728" spans="1:26" ht="26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5"/>
      <c r="X728" s="7"/>
      <c r="Y728" s="2"/>
      <c r="Z728" s="2"/>
    </row>
    <row r="729" spans="1:26" ht="26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5"/>
      <c r="X729" s="7"/>
      <c r="Y729" s="2"/>
      <c r="Z729" s="2"/>
    </row>
    <row r="730" spans="1:26" ht="26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5"/>
      <c r="X730" s="7"/>
      <c r="Y730" s="2"/>
      <c r="Z730" s="2"/>
    </row>
    <row r="731" spans="1:26" ht="26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5"/>
      <c r="X731" s="7"/>
      <c r="Y731" s="2"/>
      <c r="Z731" s="2"/>
    </row>
    <row r="732" spans="1:26" ht="26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5"/>
      <c r="X732" s="7"/>
      <c r="Y732" s="2"/>
      <c r="Z732" s="2"/>
    </row>
    <row r="733" spans="1:26" ht="26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5"/>
      <c r="X733" s="7"/>
      <c r="Y733" s="2"/>
      <c r="Z733" s="2"/>
    </row>
    <row r="734" spans="1:26" ht="26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5"/>
      <c r="X734" s="7"/>
      <c r="Y734" s="2"/>
      <c r="Z734" s="2"/>
    </row>
    <row r="735" spans="1:26" ht="26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5"/>
      <c r="X735" s="7"/>
      <c r="Y735" s="2"/>
      <c r="Z735" s="2"/>
    </row>
    <row r="736" spans="1:26" ht="26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5"/>
      <c r="X736" s="7"/>
      <c r="Y736" s="2"/>
      <c r="Z736" s="2"/>
    </row>
    <row r="737" spans="1:26" ht="26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5"/>
      <c r="X737" s="7"/>
      <c r="Y737" s="2"/>
      <c r="Z737" s="2"/>
    </row>
    <row r="738" spans="1:26" ht="26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5"/>
      <c r="X738" s="7"/>
      <c r="Y738" s="2"/>
      <c r="Z738" s="2"/>
    </row>
    <row r="739" spans="1:26" ht="26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5"/>
      <c r="X739" s="7"/>
      <c r="Y739" s="2"/>
      <c r="Z739" s="2"/>
    </row>
    <row r="740" spans="1:26" ht="26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5"/>
      <c r="X740" s="7"/>
      <c r="Y740" s="2"/>
      <c r="Z740" s="2"/>
    </row>
    <row r="741" spans="1:26" ht="26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5"/>
      <c r="X741" s="7"/>
      <c r="Y741" s="2"/>
      <c r="Z741" s="2"/>
    </row>
    <row r="742" spans="1:26" ht="26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5"/>
      <c r="X742" s="7"/>
      <c r="Y742" s="2"/>
      <c r="Z742" s="2"/>
    </row>
    <row r="743" spans="1:26" ht="26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5"/>
      <c r="X743" s="7"/>
      <c r="Y743" s="2"/>
      <c r="Z743" s="2"/>
    </row>
    <row r="744" spans="1:26" ht="26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5"/>
      <c r="X744" s="7"/>
      <c r="Y744" s="2"/>
      <c r="Z744" s="2"/>
    </row>
    <row r="745" spans="1:26" ht="26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5"/>
      <c r="X745" s="7"/>
      <c r="Y745" s="2"/>
      <c r="Z745" s="2"/>
    </row>
    <row r="746" spans="1:26" ht="26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5"/>
      <c r="X746" s="7"/>
      <c r="Y746" s="2"/>
      <c r="Z746" s="2"/>
    </row>
    <row r="747" spans="1:26" ht="26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5"/>
      <c r="X747" s="7"/>
      <c r="Y747" s="2"/>
      <c r="Z747" s="2"/>
    </row>
    <row r="748" spans="1:26" ht="26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5"/>
      <c r="X748" s="7"/>
      <c r="Y748" s="2"/>
      <c r="Z748" s="2"/>
    </row>
    <row r="749" spans="1:26" ht="26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5"/>
      <c r="X749" s="7"/>
      <c r="Y749" s="2"/>
      <c r="Z749" s="2"/>
    </row>
    <row r="750" spans="1:26" ht="26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5"/>
      <c r="X750" s="7"/>
      <c r="Y750" s="2"/>
      <c r="Z750" s="2"/>
    </row>
    <row r="751" spans="1:26" ht="26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5"/>
      <c r="X751" s="7"/>
      <c r="Y751" s="2"/>
      <c r="Z751" s="2"/>
    </row>
    <row r="752" spans="1:26" ht="26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5"/>
      <c r="X752" s="7"/>
      <c r="Y752" s="2"/>
      <c r="Z752" s="2"/>
    </row>
    <row r="753" spans="1:26" ht="26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5"/>
      <c r="X753" s="7"/>
      <c r="Y753" s="2"/>
      <c r="Z753" s="2"/>
    </row>
    <row r="754" spans="1:26" ht="26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5"/>
      <c r="X754" s="7"/>
      <c r="Y754" s="2"/>
      <c r="Z754" s="2"/>
    </row>
    <row r="755" spans="1:26" ht="26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5"/>
      <c r="X755" s="7"/>
      <c r="Y755" s="2"/>
      <c r="Z755" s="2"/>
    </row>
    <row r="756" spans="1:26" ht="26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5"/>
      <c r="X756" s="7"/>
      <c r="Y756" s="2"/>
      <c r="Z756" s="2"/>
    </row>
    <row r="757" spans="1:26" ht="26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5"/>
      <c r="X757" s="7"/>
      <c r="Y757" s="2"/>
      <c r="Z757" s="2"/>
    </row>
    <row r="758" spans="1:26" ht="26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5"/>
      <c r="X758" s="7"/>
      <c r="Y758" s="2"/>
      <c r="Z758" s="2"/>
    </row>
    <row r="759" spans="1:26" ht="26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5"/>
      <c r="X759" s="7"/>
      <c r="Y759" s="2"/>
      <c r="Z759" s="2"/>
    </row>
    <row r="760" spans="1:26" ht="26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5"/>
      <c r="X760" s="7"/>
      <c r="Y760" s="2"/>
      <c r="Z760" s="2"/>
    </row>
    <row r="761" spans="1:26" ht="26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5"/>
      <c r="X761" s="7"/>
      <c r="Y761" s="2"/>
      <c r="Z761" s="2"/>
    </row>
    <row r="762" spans="1:26" ht="26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5"/>
      <c r="X762" s="7"/>
      <c r="Y762" s="2"/>
      <c r="Z762" s="2"/>
    </row>
    <row r="763" spans="1:26" ht="26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5"/>
      <c r="X763" s="7"/>
      <c r="Y763" s="2"/>
      <c r="Z763" s="2"/>
    </row>
    <row r="764" spans="1:26" ht="26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5"/>
      <c r="X764" s="7"/>
      <c r="Y764" s="2"/>
      <c r="Z764" s="2"/>
    </row>
    <row r="765" spans="1:26" ht="26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5"/>
      <c r="X765" s="7"/>
      <c r="Y765" s="2"/>
      <c r="Z765" s="2"/>
    </row>
    <row r="766" spans="1:26" ht="26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5"/>
      <c r="X766" s="7"/>
      <c r="Y766" s="2"/>
      <c r="Z766" s="2"/>
    </row>
    <row r="767" spans="1:26" ht="26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5"/>
      <c r="X767" s="7"/>
      <c r="Y767" s="2"/>
      <c r="Z767" s="2"/>
    </row>
    <row r="768" spans="1:26" ht="26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5"/>
      <c r="X768" s="7"/>
      <c r="Y768" s="2"/>
      <c r="Z768" s="2"/>
    </row>
    <row r="769" spans="1:26" ht="26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5"/>
      <c r="X769" s="7"/>
      <c r="Y769" s="2"/>
      <c r="Z769" s="2"/>
    </row>
    <row r="770" spans="1:26" ht="26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5"/>
      <c r="X770" s="7"/>
      <c r="Y770" s="2"/>
      <c r="Z770" s="2"/>
    </row>
    <row r="771" spans="1:26" ht="26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5"/>
      <c r="X771" s="7"/>
      <c r="Y771" s="2"/>
      <c r="Z771" s="2"/>
    </row>
    <row r="772" spans="1:26" ht="26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5"/>
      <c r="X772" s="7"/>
      <c r="Y772" s="2"/>
      <c r="Z772" s="2"/>
    </row>
    <row r="773" spans="1:26" ht="26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5"/>
      <c r="X773" s="7"/>
      <c r="Y773" s="2"/>
      <c r="Z773" s="2"/>
    </row>
    <row r="774" spans="1:26" ht="26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5"/>
      <c r="X774" s="7"/>
      <c r="Y774" s="2"/>
      <c r="Z774" s="2"/>
    </row>
    <row r="775" spans="1:26" ht="26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5"/>
      <c r="X775" s="7"/>
      <c r="Y775" s="2"/>
      <c r="Z775" s="2"/>
    </row>
    <row r="776" spans="1:26" ht="26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5"/>
      <c r="X776" s="7"/>
      <c r="Y776" s="2"/>
      <c r="Z776" s="2"/>
    </row>
    <row r="777" spans="1:26" ht="26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5"/>
      <c r="X777" s="7"/>
      <c r="Y777" s="2"/>
      <c r="Z777" s="2"/>
    </row>
    <row r="778" spans="1:26" ht="26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5"/>
      <c r="X778" s="7"/>
      <c r="Y778" s="2"/>
      <c r="Z778" s="2"/>
    </row>
    <row r="779" spans="1:26" ht="26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5"/>
      <c r="X779" s="7"/>
      <c r="Y779" s="2"/>
      <c r="Z779" s="2"/>
    </row>
    <row r="780" spans="1:26" ht="26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5"/>
      <c r="X780" s="7"/>
      <c r="Y780" s="2"/>
      <c r="Z780" s="2"/>
    </row>
    <row r="781" spans="1:26" ht="26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5"/>
      <c r="X781" s="7"/>
      <c r="Y781" s="2"/>
      <c r="Z781" s="2"/>
    </row>
    <row r="782" spans="1:26" ht="26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5"/>
      <c r="X782" s="7"/>
      <c r="Y782" s="2"/>
      <c r="Z782" s="2"/>
    </row>
    <row r="783" spans="1:26" ht="26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5"/>
      <c r="X783" s="7"/>
      <c r="Y783" s="2"/>
      <c r="Z783" s="2"/>
    </row>
    <row r="784" spans="1:26" ht="26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5"/>
      <c r="X784" s="7"/>
      <c r="Y784" s="2"/>
      <c r="Z784" s="2"/>
    </row>
    <row r="785" spans="1:26" ht="26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5"/>
      <c r="X785" s="7"/>
      <c r="Y785" s="2"/>
      <c r="Z785" s="2"/>
    </row>
    <row r="786" spans="1:26" ht="26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5"/>
      <c r="X786" s="7"/>
      <c r="Y786" s="2"/>
      <c r="Z786" s="2"/>
    </row>
    <row r="787" spans="1:26" ht="26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5"/>
      <c r="X787" s="7"/>
      <c r="Y787" s="2"/>
      <c r="Z787" s="2"/>
    </row>
    <row r="788" spans="1:26" ht="26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5"/>
      <c r="X788" s="7"/>
      <c r="Y788" s="2"/>
      <c r="Z788" s="2"/>
    </row>
    <row r="789" spans="1:26" ht="26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5"/>
      <c r="X789" s="7"/>
      <c r="Y789" s="2"/>
      <c r="Z789" s="2"/>
    </row>
    <row r="790" spans="1:26" ht="26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5"/>
      <c r="X790" s="7"/>
      <c r="Y790" s="2"/>
      <c r="Z790" s="2"/>
    </row>
    <row r="791" spans="1:26" ht="26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5"/>
      <c r="X791" s="7"/>
      <c r="Y791" s="2"/>
      <c r="Z791" s="2"/>
    </row>
    <row r="792" spans="1:26" ht="26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5"/>
      <c r="X792" s="7"/>
      <c r="Y792" s="2"/>
      <c r="Z792" s="2"/>
    </row>
    <row r="793" spans="1:26" ht="26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5"/>
      <c r="X793" s="7"/>
      <c r="Y793" s="2"/>
      <c r="Z793" s="2"/>
    </row>
    <row r="794" spans="1:26" ht="26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5"/>
      <c r="X794" s="7"/>
      <c r="Y794" s="2"/>
      <c r="Z794" s="2"/>
    </row>
    <row r="795" spans="1:26" ht="26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5"/>
      <c r="X795" s="7"/>
      <c r="Y795" s="2"/>
      <c r="Z795" s="2"/>
    </row>
    <row r="796" spans="1:26" ht="26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5"/>
      <c r="X796" s="7"/>
      <c r="Y796" s="2"/>
      <c r="Z796" s="2"/>
    </row>
    <row r="797" spans="1:26" ht="26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5"/>
      <c r="X797" s="7"/>
      <c r="Y797" s="2"/>
      <c r="Z797" s="2"/>
    </row>
    <row r="798" spans="1:26" ht="26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5"/>
      <c r="X798" s="7"/>
      <c r="Y798" s="2"/>
      <c r="Z798" s="2"/>
    </row>
    <row r="799" spans="1:26" ht="26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5"/>
      <c r="X799" s="7"/>
      <c r="Y799" s="2"/>
      <c r="Z799" s="2"/>
    </row>
    <row r="800" spans="1:26" ht="26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5"/>
      <c r="X800" s="7"/>
      <c r="Y800" s="2"/>
      <c r="Z800" s="2"/>
    </row>
    <row r="801" spans="1:26" ht="26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5"/>
      <c r="X801" s="7"/>
      <c r="Y801" s="2"/>
      <c r="Z801" s="2"/>
    </row>
    <row r="802" spans="1:26" ht="26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5"/>
      <c r="X802" s="7"/>
      <c r="Y802" s="2"/>
      <c r="Z802" s="2"/>
    </row>
    <row r="803" spans="1:26" ht="26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5"/>
      <c r="X803" s="7"/>
      <c r="Y803" s="2"/>
      <c r="Z803" s="2"/>
    </row>
    <row r="804" spans="1:26" ht="26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5"/>
      <c r="X804" s="7"/>
      <c r="Y804" s="2"/>
      <c r="Z804" s="2"/>
    </row>
    <row r="805" spans="1:26" ht="26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5"/>
      <c r="X805" s="7"/>
      <c r="Y805" s="2"/>
      <c r="Z805" s="2"/>
    </row>
    <row r="806" spans="1:26" ht="26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5"/>
      <c r="X806" s="7"/>
      <c r="Y806" s="2"/>
      <c r="Z806" s="2"/>
    </row>
    <row r="807" spans="1:26" ht="26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5"/>
      <c r="X807" s="7"/>
      <c r="Y807" s="2"/>
      <c r="Z807" s="2"/>
    </row>
    <row r="808" spans="1:26" ht="26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5"/>
      <c r="X808" s="7"/>
      <c r="Y808" s="2"/>
      <c r="Z808" s="2"/>
    </row>
    <row r="809" spans="1:26" ht="26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5"/>
      <c r="X809" s="7"/>
      <c r="Y809" s="2"/>
      <c r="Z809" s="2"/>
    </row>
    <row r="810" spans="1:26" ht="26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5"/>
      <c r="X810" s="7"/>
      <c r="Y810" s="2"/>
      <c r="Z810" s="2"/>
    </row>
    <row r="811" spans="1:26" ht="26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5"/>
      <c r="X811" s="7"/>
      <c r="Y811" s="2"/>
      <c r="Z811" s="2"/>
    </row>
    <row r="812" spans="1:26" ht="26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5"/>
      <c r="X812" s="7"/>
      <c r="Y812" s="2"/>
      <c r="Z812" s="2"/>
    </row>
    <row r="813" spans="1:26" ht="26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5"/>
      <c r="X813" s="7"/>
      <c r="Y813" s="2"/>
      <c r="Z813" s="2"/>
    </row>
    <row r="814" spans="1:26" ht="26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5"/>
      <c r="X814" s="7"/>
      <c r="Y814" s="2"/>
      <c r="Z814" s="2"/>
    </row>
    <row r="815" spans="1:26" ht="26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5"/>
      <c r="X815" s="7"/>
      <c r="Y815" s="2"/>
      <c r="Z815" s="2"/>
    </row>
    <row r="816" spans="1:26" ht="26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5"/>
      <c r="X816" s="7"/>
      <c r="Y816" s="2"/>
      <c r="Z816" s="2"/>
    </row>
    <row r="817" spans="1:26" ht="26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5"/>
      <c r="X817" s="7"/>
      <c r="Y817" s="2"/>
      <c r="Z817" s="2"/>
    </row>
    <row r="818" spans="1:26" ht="26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5"/>
      <c r="X818" s="7"/>
      <c r="Y818" s="2"/>
      <c r="Z818" s="2"/>
    </row>
    <row r="819" spans="1:26" ht="26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5"/>
      <c r="X819" s="7"/>
      <c r="Y819" s="2"/>
      <c r="Z819" s="2"/>
    </row>
    <row r="820" spans="1:26" ht="26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5"/>
      <c r="X820" s="7"/>
      <c r="Y820" s="2"/>
      <c r="Z820" s="2"/>
    </row>
    <row r="821" spans="1:26" ht="26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5"/>
      <c r="X821" s="7"/>
      <c r="Y821" s="2"/>
      <c r="Z821" s="2"/>
    </row>
    <row r="822" spans="1:26" ht="26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5"/>
      <c r="X822" s="7"/>
      <c r="Y822" s="2"/>
      <c r="Z822" s="2"/>
    </row>
    <row r="823" spans="1:26" ht="26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5"/>
      <c r="X823" s="7"/>
      <c r="Y823" s="2"/>
      <c r="Z823" s="2"/>
    </row>
    <row r="824" spans="1:26" ht="26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5"/>
      <c r="X824" s="7"/>
      <c r="Y824" s="2"/>
      <c r="Z824" s="2"/>
    </row>
    <row r="825" spans="1:26" ht="26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5"/>
      <c r="X825" s="7"/>
      <c r="Y825" s="2"/>
      <c r="Z825" s="2"/>
    </row>
    <row r="826" spans="1:26" ht="26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5"/>
      <c r="X826" s="7"/>
      <c r="Y826" s="2"/>
      <c r="Z826" s="2"/>
    </row>
    <row r="827" spans="1:26" ht="26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5"/>
      <c r="X827" s="7"/>
      <c r="Y827" s="2"/>
      <c r="Z827" s="2"/>
    </row>
    <row r="828" spans="1:26" ht="26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5"/>
      <c r="X828" s="7"/>
      <c r="Y828" s="2"/>
      <c r="Z828" s="2"/>
    </row>
    <row r="829" spans="1:26" ht="26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5"/>
      <c r="X829" s="7"/>
      <c r="Y829" s="2"/>
      <c r="Z829" s="2"/>
    </row>
    <row r="830" spans="1:26" ht="26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5"/>
      <c r="X830" s="7"/>
      <c r="Y830" s="2"/>
      <c r="Z830" s="2"/>
    </row>
    <row r="831" spans="1:26" ht="26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5"/>
      <c r="X831" s="7"/>
      <c r="Y831" s="2"/>
      <c r="Z831" s="2"/>
    </row>
    <row r="832" spans="1:26" ht="26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5"/>
      <c r="X832" s="7"/>
      <c r="Y832" s="2"/>
      <c r="Z832" s="2"/>
    </row>
    <row r="833" spans="1:26" ht="26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5"/>
      <c r="X833" s="7"/>
      <c r="Y833" s="2"/>
      <c r="Z833" s="2"/>
    </row>
    <row r="834" spans="1:26" ht="26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5"/>
      <c r="X834" s="7"/>
      <c r="Y834" s="2"/>
      <c r="Z834" s="2"/>
    </row>
    <row r="835" spans="1:26" ht="26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5"/>
      <c r="X835" s="7"/>
      <c r="Y835" s="2"/>
      <c r="Z835" s="2"/>
    </row>
    <row r="836" spans="1:26" ht="26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5"/>
      <c r="X836" s="7"/>
      <c r="Y836" s="2"/>
      <c r="Z836" s="2"/>
    </row>
    <row r="837" spans="1:26" ht="26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5"/>
      <c r="X837" s="7"/>
      <c r="Y837" s="2"/>
      <c r="Z837" s="2"/>
    </row>
    <row r="838" spans="1:26" ht="26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5"/>
      <c r="X838" s="7"/>
      <c r="Y838" s="2"/>
      <c r="Z838" s="2"/>
    </row>
    <row r="839" spans="1:26" ht="26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5"/>
      <c r="X839" s="7"/>
      <c r="Y839" s="2"/>
      <c r="Z839" s="2"/>
    </row>
    <row r="840" spans="1:26" ht="26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5"/>
      <c r="X840" s="7"/>
      <c r="Y840" s="2"/>
      <c r="Z840" s="2"/>
    </row>
    <row r="841" spans="1:26" ht="26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5"/>
      <c r="X841" s="7"/>
      <c r="Y841" s="2"/>
      <c r="Z841" s="2"/>
    </row>
    <row r="842" spans="1:26" ht="26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5"/>
      <c r="X842" s="7"/>
      <c r="Y842" s="2"/>
      <c r="Z842" s="2"/>
    </row>
    <row r="843" spans="1:26" ht="26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5"/>
      <c r="X843" s="7"/>
      <c r="Y843" s="2"/>
      <c r="Z843" s="2"/>
    </row>
    <row r="844" spans="1:26" ht="26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5"/>
      <c r="X844" s="7"/>
      <c r="Y844" s="2"/>
      <c r="Z844" s="2"/>
    </row>
    <row r="845" spans="1:26" ht="26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5"/>
      <c r="X845" s="7"/>
      <c r="Y845" s="2"/>
      <c r="Z845" s="2"/>
    </row>
    <row r="846" spans="1:26" ht="26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5"/>
      <c r="X846" s="7"/>
      <c r="Y846" s="2"/>
      <c r="Z846" s="2"/>
    </row>
    <row r="847" spans="1:26" ht="26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5"/>
      <c r="X847" s="7"/>
      <c r="Y847" s="2"/>
      <c r="Z847" s="2"/>
    </row>
    <row r="848" spans="1:26" ht="26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5"/>
      <c r="X848" s="7"/>
      <c r="Y848" s="2"/>
      <c r="Z848" s="2"/>
    </row>
    <row r="849" spans="1:26" ht="26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5"/>
      <c r="X849" s="7"/>
      <c r="Y849" s="2"/>
      <c r="Z849" s="2"/>
    </row>
    <row r="850" spans="1:26" ht="26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5"/>
      <c r="X850" s="7"/>
      <c r="Y850" s="2"/>
      <c r="Z850" s="2"/>
    </row>
    <row r="851" spans="1:26" ht="26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5"/>
      <c r="X851" s="7"/>
      <c r="Y851" s="2"/>
      <c r="Z851" s="2"/>
    </row>
    <row r="852" spans="1:26" ht="26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5"/>
      <c r="X852" s="7"/>
      <c r="Y852" s="2"/>
      <c r="Z852" s="2"/>
    </row>
    <row r="853" spans="1:26" ht="26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5"/>
      <c r="X853" s="7"/>
      <c r="Y853" s="2"/>
      <c r="Z853" s="2"/>
    </row>
    <row r="854" spans="1:26" ht="26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5"/>
      <c r="X854" s="7"/>
      <c r="Y854" s="2"/>
      <c r="Z854" s="2"/>
    </row>
    <row r="855" spans="1:26" ht="26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5"/>
      <c r="X855" s="7"/>
      <c r="Y855" s="2"/>
      <c r="Z855" s="2"/>
    </row>
    <row r="856" spans="1:26" ht="26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5"/>
      <c r="X856" s="7"/>
      <c r="Y856" s="2"/>
      <c r="Z856" s="2"/>
    </row>
    <row r="857" spans="1:26" ht="26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5"/>
      <c r="X857" s="7"/>
      <c r="Y857" s="2"/>
      <c r="Z857" s="2"/>
    </row>
    <row r="858" spans="1:26" ht="26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5"/>
      <c r="X858" s="7"/>
      <c r="Y858" s="2"/>
      <c r="Z858" s="2"/>
    </row>
    <row r="859" spans="1:26" ht="26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5"/>
      <c r="X859" s="7"/>
      <c r="Y859" s="2"/>
      <c r="Z859" s="2"/>
    </row>
    <row r="860" spans="1:26" ht="26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5"/>
      <c r="X860" s="7"/>
      <c r="Y860" s="2"/>
      <c r="Z860" s="2"/>
    </row>
    <row r="861" spans="1:26" ht="26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5"/>
      <c r="X861" s="7"/>
      <c r="Y861" s="2"/>
      <c r="Z861" s="2"/>
    </row>
    <row r="862" spans="1:26" ht="26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5"/>
      <c r="X862" s="7"/>
      <c r="Y862" s="2"/>
      <c r="Z862" s="2"/>
    </row>
    <row r="863" spans="1:26" ht="26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5"/>
      <c r="X863" s="7"/>
      <c r="Y863" s="2"/>
      <c r="Z863" s="2"/>
    </row>
    <row r="864" spans="1:26" ht="26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5"/>
      <c r="X864" s="7"/>
      <c r="Y864" s="2"/>
      <c r="Z864" s="2"/>
    </row>
    <row r="865" spans="1:26" ht="26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5"/>
      <c r="X865" s="7"/>
      <c r="Y865" s="2"/>
      <c r="Z865" s="2"/>
    </row>
    <row r="866" spans="1:26" ht="26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5"/>
      <c r="X866" s="7"/>
      <c r="Y866" s="2"/>
      <c r="Z866" s="2"/>
    </row>
    <row r="867" spans="1:26" ht="26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5"/>
      <c r="X867" s="7"/>
      <c r="Y867" s="2"/>
      <c r="Z867" s="2"/>
    </row>
    <row r="868" spans="1:26" ht="26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5"/>
      <c r="X868" s="7"/>
      <c r="Y868" s="2"/>
      <c r="Z868" s="2"/>
    </row>
    <row r="869" spans="1:26" ht="26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5"/>
      <c r="X869" s="7"/>
      <c r="Y869" s="2"/>
      <c r="Z869" s="2"/>
    </row>
    <row r="870" spans="1:26" ht="26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5"/>
      <c r="X870" s="7"/>
      <c r="Y870" s="2"/>
      <c r="Z870" s="2"/>
    </row>
    <row r="871" spans="1:26" ht="26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5"/>
      <c r="X871" s="7"/>
      <c r="Y871" s="2"/>
      <c r="Z871" s="2"/>
    </row>
    <row r="872" spans="1:26" ht="26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5"/>
      <c r="X872" s="7"/>
      <c r="Y872" s="2"/>
      <c r="Z872" s="2"/>
    </row>
    <row r="873" spans="1:26" ht="26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5"/>
      <c r="X873" s="7"/>
      <c r="Y873" s="2"/>
      <c r="Z873" s="2"/>
    </row>
    <row r="874" spans="1:26" ht="26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5"/>
      <c r="X874" s="7"/>
      <c r="Y874" s="2"/>
      <c r="Z874" s="2"/>
    </row>
    <row r="875" spans="1:26" ht="26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5"/>
      <c r="X875" s="7"/>
      <c r="Y875" s="2"/>
      <c r="Z875" s="2"/>
    </row>
    <row r="876" spans="1:26" ht="26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5"/>
      <c r="X876" s="7"/>
      <c r="Y876" s="2"/>
      <c r="Z876" s="2"/>
    </row>
    <row r="877" spans="1:26" ht="26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5"/>
      <c r="X877" s="7"/>
      <c r="Y877" s="2"/>
      <c r="Z877" s="2"/>
    </row>
    <row r="878" spans="1:26" ht="26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5"/>
      <c r="X878" s="7"/>
      <c r="Y878" s="2"/>
      <c r="Z878" s="2"/>
    </row>
    <row r="879" spans="1:26" ht="26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5"/>
      <c r="X879" s="7"/>
      <c r="Y879" s="2"/>
      <c r="Z879" s="2"/>
    </row>
    <row r="880" spans="1:26" ht="26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5"/>
      <c r="X880" s="7"/>
      <c r="Y880" s="2"/>
      <c r="Z880" s="2"/>
    </row>
    <row r="881" spans="1:26" ht="26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5"/>
      <c r="X881" s="7"/>
      <c r="Y881" s="2"/>
      <c r="Z881" s="2"/>
    </row>
    <row r="882" spans="1:26" ht="26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5"/>
      <c r="X882" s="7"/>
      <c r="Y882" s="2"/>
      <c r="Z882" s="2"/>
    </row>
    <row r="883" spans="1:26" ht="26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5"/>
      <c r="X883" s="7"/>
      <c r="Y883" s="2"/>
      <c r="Z883" s="2"/>
    </row>
    <row r="884" spans="1:26" ht="26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5"/>
      <c r="X884" s="7"/>
      <c r="Y884" s="2"/>
      <c r="Z884" s="2"/>
    </row>
    <row r="885" spans="1:26" ht="26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5"/>
      <c r="X885" s="7"/>
      <c r="Y885" s="2"/>
      <c r="Z885" s="2"/>
    </row>
    <row r="886" spans="1:26" ht="26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5"/>
      <c r="X886" s="7"/>
      <c r="Y886" s="2"/>
      <c r="Z886" s="2"/>
    </row>
    <row r="887" spans="1:26" ht="26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5"/>
      <c r="X887" s="7"/>
      <c r="Y887" s="2"/>
      <c r="Z887" s="2"/>
    </row>
    <row r="888" spans="1:26" ht="26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5"/>
      <c r="X888" s="7"/>
      <c r="Y888" s="2"/>
      <c r="Z888" s="2"/>
    </row>
    <row r="889" spans="1:26" ht="26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5"/>
      <c r="X889" s="7"/>
      <c r="Y889" s="2"/>
      <c r="Z889" s="2"/>
    </row>
    <row r="890" spans="1:26" ht="26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5"/>
      <c r="X890" s="7"/>
      <c r="Y890" s="2"/>
      <c r="Z890" s="2"/>
    </row>
    <row r="891" spans="1:26" ht="26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5"/>
      <c r="X891" s="7"/>
      <c r="Y891" s="2"/>
      <c r="Z891" s="2"/>
    </row>
    <row r="892" spans="1:26" ht="26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5"/>
      <c r="X892" s="7"/>
      <c r="Y892" s="2"/>
      <c r="Z892" s="2"/>
    </row>
    <row r="893" spans="1:26" ht="26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5"/>
      <c r="X893" s="7"/>
      <c r="Y893" s="2"/>
      <c r="Z893" s="2"/>
    </row>
    <row r="894" spans="1:26" ht="26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5"/>
      <c r="X894" s="7"/>
      <c r="Y894" s="2"/>
      <c r="Z894" s="2"/>
    </row>
    <row r="895" spans="1:26" ht="26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5"/>
      <c r="X895" s="7"/>
      <c r="Y895" s="2"/>
      <c r="Z895" s="2"/>
    </row>
    <row r="896" spans="1:26" ht="26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5"/>
      <c r="X896" s="7"/>
      <c r="Y896" s="2"/>
      <c r="Z896" s="2"/>
    </row>
    <row r="897" spans="1:26" ht="26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5"/>
      <c r="X897" s="7"/>
      <c r="Y897" s="2"/>
      <c r="Z897" s="2"/>
    </row>
    <row r="898" spans="1:26" ht="26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5"/>
      <c r="X898" s="7"/>
      <c r="Y898" s="2"/>
      <c r="Z898" s="2"/>
    </row>
    <row r="899" spans="1:26" ht="26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5"/>
      <c r="X899" s="7"/>
      <c r="Y899" s="2"/>
      <c r="Z899" s="2"/>
    </row>
    <row r="900" spans="1:26" ht="26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5"/>
      <c r="X900" s="7"/>
      <c r="Y900" s="2"/>
      <c r="Z900" s="2"/>
    </row>
    <row r="901" spans="1:26" ht="26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5"/>
      <c r="X901" s="7"/>
      <c r="Y901" s="2"/>
      <c r="Z901" s="2"/>
    </row>
    <row r="902" spans="1:26" ht="26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5"/>
      <c r="X902" s="7"/>
      <c r="Y902" s="2"/>
      <c r="Z902" s="2"/>
    </row>
    <row r="903" spans="1:26" ht="26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5"/>
      <c r="X903" s="7"/>
      <c r="Y903" s="2"/>
      <c r="Z903" s="2"/>
    </row>
    <row r="904" spans="1:26" ht="26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5"/>
      <c r="X904" s="7"/>
      <c r="Y904" s="2"/>
      <c r="Z904" s="2"/>
    </row>
    <row r="905" spans="1:26" ht="26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5"/>
      <c r="X905" s="7"/>
      <c r="Y905" s="2"/>
      <c r="Z905" s="2"/>
    </row>
    <row r="906" spans="1:26" ht="26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5"/>
      <c r="X906" s="7"/>
      <c r="Y906" s="2"/>
      <c r="Z906" s="2"/>
    </row>
    <row r="907" spans="1:26" ht="26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5"/>
      <c r="X907" s="7"/>
      <c r="Y907" s="2"/>
      <c r="Z907" s="2"/>
    </row>
    <row r="908" spans="1:26" ht="26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5"/>
      <c r="X908" s="7"/>
      <c r="Y908" s="2"/>
      <c r="Z908" s="2"/>
    </row>
    <row r="909" spans="1:26" ht="26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5"/>
      <c r="X909" s="7"/>
      <c r="Y909" s="2"/>
      <c r="Z909" s="2"/>
    </row>
    <row r="910" spans="1:26" ht="26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5"/>
      <c r="X910" s="7"/>
      <c r="Y910" s="2"/>
      <c r="Z910" s="2"/>
    </row>
    <row r="911" spans="1:26" ht="26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5"/>
      <c r="X911" s="7"/>
      <c r="Y911" s="2"/>
      <c r="Z911" s="2"/>
    </row>
    <row r="912" spans="1:26" ht="26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5"/>
      <c r="X912" s="7"/>
      <c r="Y912" s="2"/>
      <c r="Z912" s="2"/>
    </row>
    <row r="913" spans="1:26" ht="26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5"/>
      <c r="X913" s="7"/>
      <c r="Y913" s="2"/>
      <c r="Z913" s="2"/>
    </row>
    <row r="914" spans="1:26" ht="26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5"/>
      <c r="X914" s="7"/>
      <c r="Y914" s="2"/>
      <c r="Z914" s="2"/>
    </row>
    <row r="915" spans="1:26" ht="26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5"/>
      <c r="X915" s="7"/>
      <c r="Y915" s="2"/>
      <c r="Z915" s="2"/>
    </row>
    <row r="916" spans="1:26" ht="26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5"/>
      <c r="X916" s="7"/>
      <c r="Y916" s="2"/>
      <c r="Z916" s="2"/>
    </row>
    <row r="917" spans="1:26" ht="26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5"/>
      <c r="X917" s="7"/>
      <c r="Y917" s="2"/>
      <c r="Z917" s="2"/>
    </row>
    <row r="918" spans="1:26" ht="26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5"/>
      <c r="X918" s="7"/>
      <c r="Y918" s="2"/>
      <c r="Z918" s="2"/>
    </row>
    <row r="919" spans="1:26" ht="26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5"/>
      <c r="X919" s="7"/>
      <c r="Y919" s="2"/>
      <c r="Z919" s="2"/>
    </row>
    <row r="920" spans="1:26" ht="26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5"/>
      <c r="X920" s="7"/>
      <c r="Y920" s="2"/>
      <c r="Z920" s="2"/>
    </row>
    <row r="921" spans="1:26" ht="26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5"/>
      <c r="X921" s="7"/>
      <c r="Y921" s="2"/>
      <c r="Z921" s="2"/>
    </row>
    <row r="922" spans="1:26" ht="26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5"/>
      <c r="X922" s="7"/>
      <c r="Y922" s="2"/>
      <c r="Z922" s="2"/>
    </row>
    <row r="923" spans="1:26" ht="26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5"/>
      <c r="X923" s="7"/>
      <c r="Y923" s="2"/>
      <c r="Z923" s="2"/>
    </row>
    <row r="924" spans="1:26" ht="26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5"/>
      <c r="X924" s="7"/>
      <c r="Y924" s="2"/>
      <c r="Z924" s="2"/>
    </row>
    <row r="925" spans="1:26" ht="26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5"/>
      <c r="X925" s="7"/>
      <c r="Y925" s="2"/>
      <c r="Z925" s="2"/>
    </row>
    <row r="926" spans="1:26" ht="26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5"/>
      <c r="X926" s="7"/>
      <c r="Y926" s="2"/>
      <c r="Z926" s="2"/>
    </row>
    <row r="927" spans="1:26" ht="26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5"/>
      <c r="X927" s="7"/>
      <c r="Y927" s="2"/>
      <c r="Z927" s="2"/>
    </row>
    <row r="928" spans="1:26" ht="26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5"/>
      <c r="X928" s="7"/>
      <c r="Y928" s="2"/>
      <c r="Z928" s="2"/>
    </row>
    <row r="929" spans="1:26" ht="26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5"/>
      <c r="X929" s="7"/>
      <c r="Y929" s="2"/>
      <c r="Z929" s="2"/>
    </row>
    <row r="930" spans="1:26" ht="26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5"/>
      <c r="X930" s="7"/>
      <c r="Y930" s="2"/>
      <c r="Z930" s="2"/>
    </row>
    <row r="931" spans="1:26" ht="26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5"/>
      <c r="X931" s="7"/>
      <c r="Y931" s="2"/>
      <c r="Z931" s="2"/>
    </row>
    <row r="932" spans="1:26" ht="26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5"/>
      <c r="X932" s="7"/>
      <c r="Y932" s="2"/>
      <c r="Z932" s="2"/>
    </row>
    <row r="933" spans="1:26" ht="26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5"/>
      <c r="X933" s="7"/>
      <c r="Y933" s="2"/>
      <c r="Z933" s="2"/>
    </row>
    <row r="934" spans="1:26" ht="26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5"/>
      <c r="X934" s="7"/>
      <c r="Y934" s="2"/>
      <c r="Z934" s="2"/>
    </row>
    <row r="935" spans="1:26" ht="26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5"/>
      <c r="X935" s="7"/>
      <c r="Y935" s="2"/>
      <c r="Z935" s="2"/>
    </row>
    <row r="936" spans="1:26" ht="26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5"/>
      <c r="X936" s="7"/>
      <c r="Y936" s="2"/>
      <c r="Z936" s="2"/>
    </row>
    <row r="937" spans="1:26" ht="26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5"/>
      <c r="X937" s="7"/>
      <c r="Y937" s="2"/>
      <c r="Z937" s="2"/>
    </row>
    <row r="938" spans="1:26" ht="26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5"/>
      <c r="X938" s="7"/>
      <c r="Y938" s="2"/>
      <c r="Z938" s="2"/>
    </row>
    <row r="939" spans="1:26" ht="26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5"/>
      <c r="X939" s="7"/>
      <c r="Y939" s="2"/>
      <c r="Z939" s="2"/>
    </row>
    <row r="940" spans="1:26" ht="26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5"/>
      <c r="X940" s="7"/>
      <c r="Y940" s="2"/>
      <c r="Z940" s="2"/>
    </row>
    <row r="941" spans="1:26" ht="26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5"/>
      <c r="X941" s="7"/>
      <c r="Y941" s="2"/>
      <c r="Z941" s="2"/>
    </row>
    <row r="942" spans="1:26" ht="26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5"/>
      <c r="X942" s="7"/>
      <c r="Y942" s="2"/>
      <c r="Z942" s="2"/>
    </row>
    <row r="943" spans="1:26" ht="26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5"/>
      <c r="X943" s="7"/>
      <c r="Y943" s="2"/>
      <c r="Z943" s="2"/>
    </row>
    <row r="944" spans="1:26" ht="26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5"/>
      <c r="X944" s="7"/>
      <c r="Y944" s="2"/>
      <c r="Z944" s="2"/>
    </row>
    <row r="945" spans="1:26" ht="26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5"/>
      <c r="X945" s="7"/>
      <c r="Y945" s="2"/>
      <c r="Z945" s="2"/>
    </row>
    <row r="946" spans="1:26" ht="26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5"/>
      <c r="X946" s="7"/>
      <c r="Y946" s="2"/>
      <c r="Z946" s="2"/>
    </row>
    <row r="947" spans="1:26" ht="26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5"/>
      <c r="X947" s="7"/>
      <c r="Y947" s="2"/>
      <c r="Z947" s="2"/>
    </row>
    <row r="948" spans="1:26" ht="26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5"/>
      <c r="X948" s="7"/>
      <c r="Y948" s="2"/>
      <c r="Z948" s="2"/>
    </row>
    <row r="949" spans="1:26" ht="26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5"/>
      <c r="X949" s="7"/>
      <c r="Y949" s="2"/>
      <c r="Z949" s="2"/>
    </row>
    <row r="950" spans="1:26" ht="26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5"/>
      <c r="X950" s="7"/>
      <c r="Y950" s="2"/>
      <c r="Z950" s="2"/>
    </row>
    <row r="951" spans="1:26" ht="26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5"/>
      <c r="X951" s="7"/>
      <c r="Y951" s="2"/>
      <c r="Z951" s="2"/>
    </row>
    <row r="952" spans="1:26" ht="26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5"/>
      <c r="X952" s="7"/>
      <c r="Y952" s="2"/>
      <c r="Z952" s="2"/>
    </row>
    <row r="953" spans="1:26" ht="26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5"/>
      <c r="X953" s="7"/>
      <c r="Y953" s="2"/>
      <c r="Z953" s="2"/>
    </row>
    <row r="954" spans="1:26" ht="26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5"/>
      <c r="X954" s="7"/>
      <c r="Y954" s="2"/>
      <c r="Z954" s="2"/>
    </row>
    <row r="955" spans="1:26" ht="26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5"/>
      <c r="X955" s="7"/>
      <c r="Y955" s="2"/>
      <c r="Z955" s="2"/>
    </row>
    <row r="956" spans="1:26" ht="26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5"/>
      <c r="X956" s="7"/>
      <c r="Y956" s="2"/>
      <c r="Z956" s="2"/>
    </row>
    <row r="957" spans="1:26" ht="26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5"/>
      <c r="X957" s="7"/>
      <c r="Y957" s="2"/>
      <c r="Z957" s="2"/>
    </row>
    <row r="958" spans="1:26" ht="26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5"/>
      <c r="X958" s="7"/>
      <c r="Y958" s="2"/>
      <c r="Z958" s="2"/>
    </row>
    <row r="959" spans="1:26" ht="26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5"/>
      <c r="X959" s="7"/>
      <c r="Y959" s="2"/>
      <c r="Z959" s="2"/>
    </row>
    <row r="960" spans="1:26" ht="26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5"/>
      <c r="X960" s="7"/>
      <c r="Y960" s="2"/>
      <c r="Z960" s="2"/>
    </row>
    <row r="961" spans="1:26" ht="26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5"/>
      <c r="X961" s="7"/>
      <c r="Y961" s="2"/>
      <c r="Z961" s="2"/>
    </row>
    <row r="962" spans="1:26" ht="26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5"/>
      <c r="X962" s="7"/>
      <c r="Y962" s="2"/>
      <c r="Z962" s="2"/>
    </row>
    <row r="963" spans="1:26" ht="26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5"/>
      <c r="X963" s="7"/>
      <c r="Y963" s="2"/>
      <c r="Z963" s="2"/>
    </row>
    <row r="964" spans="1:26" ht="26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5"/>
      <c r="X964" s="7"/>
      <c r="Y964" s="2"/>
      <c r="Z964" s="2"/>
    </row>
    <row r="965" spans="1:26" ht="26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5"/>
      <c r="X965" s="7"/>
      <c r="Y965" s="2"/>
      <c r="Z965" s="2"/>
    </row>
    <row r="966" spans="1:26" ht="26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5"/>
      <c r="X966" s="7"/>
      <c r="Y966" s="2"/>
      <c r="Z966" s="2"/>
    </row>
    <row r="967" spans="1:26" ht="26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5"/>
      <c r="X967" s="7"/>
      <c r="Y967" s="2"/>
      <c r="Z967" s="2"/>
    </row>
    <row r="968" spans="1:26" ht="26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5"/>
      <c r="X968" s="7"/>
      <c r="Y968" s="2"/>
      <c r="Z968" s="2"/>
    </row>
    <row r="969" spans="1:26" ht="26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5"/>
      <c r="X969" s="7"/>
      <c r="Y969" s="2"/>
      <c r="Z969" s="2"/>
    </row>
    <row r="970" spans="1:26" ht="26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5"/>
      <c r="X970" s="7"/>
      <c r="Y970" s="2"/>
      <c r="Z970" s="2"/>
    </row>
    <row r="971" spans="1:26" ht="26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5"/>
      <c r="X971" s="7"/>
      <c r="Y971" s="2"/>
      <c r="Z971" s="2"/>
    </row>
    <row r="972" spans="1:26" ht="26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5"/>
      <c r="X972" s="7"/>
      <c r="Y972" s="2"/>
      <c r="Z972" s="2"/>
    </row>
    <row r="973" spans="1:26" ht="26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5"/>
      <c r="X973" s="7"/>
      <c r="Y973" s="2"/>
      <c r="Z973" s="2"/>
    </row>
    <row r="974" spans="1:26" ht="26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5"/>
      <c r="X974" s="7"/>
      <c r="Y974" s="2"/>
      <c r="Z974" s="2"/>
    </row>
    <row r="975" spans="1:26" ht="26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5"/>
      <c r="X975" s="7"/>
      <c r="Y975" s="2"/>
      <c r="Z975" s="2"/>
    </row>
    <row r="976" spans="1:26" ht="26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5"/>
      <c r="X976" s="7"/>
      <c r="Y976" s="2"/>
      <c r="Z976" s="2"/>
    </row>
    <row r="977" spans="1:26" ht="26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5"/>
      <c r="X977" s="7"/>
      <c r="Y977" s="2"/>
      <c r="Z977" s="2"/>
    </row>
    <row r="978" spans="1:26" ht="26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5"/>
      <c r="X978" s="7"/>
      <c r="Y978" s="2"/>
      <c r="Z978" s="2"/>
    </row>
    <row r="979" spans="1:26" ht="26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5"/>
      <c r="X979" s="7"/>
      <c r="Y979" s="2"/>
      <c r="Z979" s="2"/>
    </row>
    <row r="980" spans="1:26" ht="26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5"/>
      <c r="X980" s="7"/>
      <c r="Y980" s="2"/>
      <c r="Z980" s="2"/>
    </row>
    <row r="981" spans="1:26" ht="26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5"/>
      <c r="X981" s="7"/>
      <c r="Y981" s="2"/>
      <c r="Z981" s="2"/>
    </row>
    <row r="982" spans="1:26" ht="26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5"/>
      <c r="X982" s="7"/>
      <c r="Y982" s="2"/>
      <c r="Z982" s="2"/>
    </row>
    <row r="983" spans="1:26" ht="26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5"/>
      <c r="X983" s="7"/>
      <c r="Y983" s="2"/>
      <c r="Z983" s="2"/>
    </row>
    <row r="984" spans="1:26" ht="26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5"/>
      <c r="X984" s="7"/>
      <c r="Y984" s="2"/>
      <c r="Z984" s="2"/>
    </row>
    <row r="985" spans="1:26" ht="26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5"/>
      <c r="X985" s="7"/>
      <c r="Y985" s="2"/>
      <c r="Z985" s="2"/>
    </row>
    <row r="986" spans="1:26" ht="26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5"/>
      <c r="X986" s="7"/>
      <c r="Y986" s="2"/>
      <c r="Z986" s="2"/>
    </row>
    <row r="987" spans="1:26" ht="26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5"/>
      <c r="X987" s="7"/>
      <c r="Y987" s="2"/>
      <c r="Z987" s="2"/>
    </row>
    <row r="988" spans="1:26" ht="26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5"/>
      <c r="X988" s="7"/>
      <c r="Y988" s="2"/>
      <c r="Z988" s="2"/>
    </row>
    <row r="989" spans="1:26" ht="26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5"/>
      <c r="X989" s="7"/>
      <c r="Y989" s="2"/>
      <c r="Z989" s="2"/>
    </row>
    <row r="990" spans="1:26" ht="26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5"/>
      <c r="X990" s="7"/>
      <c r="Y990" s="2"/>
      <c r="Z990" s="2"/>
    </row>
    <row r="991" spans="1:26" ht="26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5"/>
      <c r="X991" s="7"/>
      <c r="Y991" s="2"/>
      <c r="Z991" s="2"/>
    </row>
    <row r="992" spans="1:26" ht="26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5"/>
      <c r="X992" s="7"/>
      <c r="Y992" s="2"/>
      <c r="Z992" s="2"/>
    </row>
    <row r="993" spans="1:26" ht="26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5"/>
      <c r="X993" s="7"/>
      <c r="Y993" s="2"/>
      <c r="Z993" s="2"/>
    </row>
    <row r="994" spans="1:26" ht="26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5"/>
      <c r="X994" s="7"/>
      <c r="Y994" s="2"/>
      <c r="Z994" s="2"/>
    </row>
    <row r="995" spans="1:26" ht="26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5"/>
      <c r="X995" s="7"/>
      <c r="Y995" s="2"/>
      <c r="Z995" s="2"/>
    </row>
    <row r="996" spans="1:26" ht="26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5"/>
      <c r="X996" s="7"/>
      <c r="Y996" s="2"/>
      <c r="Z996" s="2"/>
    </row>
    <row r="997" spans="1:26" ht="26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5"/>
      <c r="X997" s="7"/>
      <c r="Y997" s="2"/>
      <c r="Z997" s="2"/>
    </row>
    <row r="998" spans="1:26" ht="26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5"/>
      <c r="X998" s="7"/>
      <c r="Y998" s="2"/>
      <c r="Z998" s="2"/>
    </row>
    <row r="999" spans="1:26" ht="26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5"/>
      <c r="X999" s="7"/>
      <c r="Y999" s="2"/>
      <c r="Z999" s="2"/>
    </row>
    <row r="1000" spans="1:26" ht="26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5"/>
      <c r="X1000" s="7"/>
      <c r="Y1000" s="2"/>
      <c r="Z1000" s="2"/>
    </row>
    <row r="1001" spans="1:26" ht="26.2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5"/>
      <c r="X1001" s="7"/>
      <c r="Y1001" s="2"/>
      <c r="Z1001" s="2"/>
    </row>
    <row r="1002" spans="1:26" ht="26.2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5"/>
      <c r="X1002" s="7"/>
      <c r="Y1002" s="2"/>
      <c r="Z1002" s="2"/>
    </row>
    <row r="1003" spans="1:26" ht="26.2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5"/>
      <c r="X1003" s="7"/>
      <c r="Y1003" s="2"/>
      <c r="Z1003" s="2"/>
    </row>
    <row r="1004" spans="1:26" ht="26.2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5"/>
      <c r="X1004" s="7"/>
      <c r="Y1004" s="2"/>
      <c r="Z1004" s="2"/>
    </row>
    <row r="1005" spans="1:26" ht="26.2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5"/>
      <c r="X1005" s="7"/>
      <c r="Y1005" s="2"/>
      <c r="Z1005" s="2"/>
    </row>
    <row r="1006" spans="1:26" ht="26.2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5"/>
      <c r="X1006" s="7"/>
      <c r="Y1006" s="2"/>
      <c r="Z1006" s="2"/>
    </row>
    <row r="1007" spans="1:26" ht="26.2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5"/>
      <c r="X1007" s="7"/>
      <c r="Y1007" s="2"/>
      <c r="Z1007" s="2"/>
    </row>
    <row r="1008" spans="1:26" ht="26.2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5"/>
      <c r="X1008" s="7"/>
      <c r="Y1008" s="2"/>
      <c r="Z1008" s="2"/>
    </row>
    <row r="1009" spans="1:26" ht="26.2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5"/>
      <c r="X1009" s="7"/>
      <c r="Y1009" s="2"/>
      <c r="Z1009" s="2"/>
    </row>
    <row r="1010" spans="1:26" ht="26.2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5"/>
      <c r="X1010" s="7"/>
      <c r="Y1010" s="2"/>
      <c r="Z1010" s="2"/>
    </row>
    <row r="1011" spans="1:26" ht="26.2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5"/>
      <c r="X1011" s="7"/>
      <c r="Y1011" s="2"/>
      <c r="Z1011" s="2"/>
    </row>
    <row r="1012" spans="1:26" ht="26.2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5"/>
      <c r="X1012" s="7"/>
      <c r="Y1012" s="2"/>
      <c r="Z1012" s="2"/>
    </row>
    <row r="1013" spans="1:26" ht="26.2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5"/>
      <c r="X1013" s="7"/>
      <c r="Y1013" s="2"/>
      <c r="Z1013" s="2"/>
    </row>
    <row r="1014" spans="1:26" ht="26.2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5"/>
      <c r="X1014" s="7"/>
      <c r="Y1014" s="2"/>
      <c r="Z1014" s="2"/>
    </row>
    <row r="1015" spans="1:26" ht="26.2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5"/>
      <c r="X1015" s="7"/>
      <c r="Y1015" s="2"/>
      <c r="Z1015" s="2"/>
    </row>
    <row r="1016" spans="1:26" ht="26.2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5"/>
      <c r="X1016" s="7"/>
      <c r="Y1016" s="2"/>
      <c r="Z1016" s="2"/>
    </row>
    <row r="1017" spans="1:26" ht="26.2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5"/>
      <c r="X1017" s="7"/>
      <c r="Y1017" s="2"/>
      <c r="Z1017" s="2"/>
    </row>
    <row r="1018" spans="1:26" ht="26.2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5"/>
      <c r="X1018" s="7"/>
      <c r="Y1018" s="2"/>
      <c r="Z1018" s="2"/>
    </row>
    <row r="1019" spans="1:26" ht="26.2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5"/>
      <c r="X1019" s="7"/>
      <c r="Y1019" s="2"/>
      <c r="Z1019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2"/>
  <sheetViews>
    <sheetView tabSelected="1" topLeftCell="A62" workbookViewId="0">
      <selection activeCell="K53" sqref="K53"/>
    </sheetView>
  </sheetViews>
  <sheetFormatPr defaultColWidth="12.6328125" defaultRowHeight="15" customHeight="1" x14ac:dyDescent="0.25"/>
  <cols>
    <col min="1" max="1" width="25.7265625" customWidth="1"/>
  </cols>
  <sheetData>
    <row r="1" spans="1:1" ht="44" customHeight="1" x14ac:dyDescent="0.85">
      <c r="A1" s="3" t="s">
        <v>60</v>
      </c>
    </row>
    <row r="16" spans="1:1" ht="14.5" customHeight="1" x14ac:dyDescent="0.25"/>
    <row r="17" spans="1:1" ht="15" hidden="1" customHeight="1" x14ac:dyDescent="0.25"/>
    <row r="18" spans="1:1" ht="5.5" customHeight="1" x14ac:dyDescent="0.25"/>
    <row r="19" spans="1:1" ht="15" hidden="1" customHeight="1" x14ac:dyDescent="0.25"/>
    <row r="20" spans="1:1" ht="48.5" customHeight="1" x14ac:dyDescent="0.85">
      <c r="A20" s="4" t="s">
        <v>61</v>
      </c>
    </row>
    <row r="36" spans="1:1" ht="56" customHeight="1" x14ac:dyDescent="0.85">
      <c r="A36" s="4" t="s">
        <v>62</v>
      </c>
    </row>
    <row r="52" spans="1:1" ht="44.5" customHeight="1" x14ac:dyDescent="0.85">
      <c r="A52" s="4" t="s">
        <v>63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8A01-DE3C-45C0-BEF5-7562FB43140F}">
  <dimension ref="B2:B61"/>
  <sheetViews>
    <sheetView topLeftCell="B1" workbookViewId="0">
      <selection activeCell="E85" sqref="E85"/>
    </sheetView>
  </sheetViews>
  <sheetFormatPr defaultRowHeight="12.5" x14ac:dyDescent="0.25"/>
  <sheetData>
    <row r="2" spans="2:2" ht="44.5" x14ac:dyDescent="0.85">
      <c r="B2" s="4" t="s">
        <v>65</v>
      </c>
    </row>
    <row r="22" spans="2:2" ht="44.5" x14ac:dyDescent="0.85">
      <c r="B22" s="4" t="s">
        <v>66</v>
      </c>
    </row>
    <row r="42" spans="2:2" ht="44.5" x14ac:dyDescent="0.85">
      <c r="B42" s="4" t="s">
        <v>67</v>
      </c>
    </row>
    <row r="61" spans="2:2" ht="44.5" x14ac:dyDescent="0.85">
      <c r="B61" s="4" t="s">
        <v>68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C6CA-374B-4426-8371-DFF18A66796D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 SECTOR ANALYSIS 1</vt:lpstr>
      <vt:lpstr>sector chart</vt:lpstr>
      <vt:lpstr>STOCKS COMPARISON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Agrawal</dc:creator>
  <cp:lastModifiedBy>sujal Agrawal</cp:lastModifiedBy>
  <dcterms:created xsi:type="dcterms:W3CDTF">2025-12-28T21:06:25Z</dcterms:created>
  <dcterms:modified xsi:type="dcterms:W3CDTF">2025-12-28T21:14:31Z</dcterms:modified>
</cp:coreProperties>
</file>